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camentos" sheetId="1" state="visible" r:id="rId1"/>
    <sheet name="Itens" sheetId="2" state="visible" r:id="rId2"/>
    <sheet name="Dashboard" sheetId="3" state="visible" r:id="rId3"/>
  </sheets>
  <definedNames>
    <definedName name="_xlnm._FilterDatabase" localSheetId="0" hidden="1">'Lancamentos'!$A$1:$M$2</definedName>
    <definedName name="_xlnm._FilterDatabase" localSheetId="1" hidden="1">'Itens'!$A$1:$F$11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529B"/>
      <sz val="14"/>
    </font>
    <font>
      <b val="1"/>
      <color rgb="0000529B"/>
    </font>
    <font>
      <b val="1"/>
      <color rgb="00107C41"/>
      <sz val="14"/>
    </font>
  </fonts>
  <fills count="5">
    <fill>
      <patternFill/>
    </fill>
    <fill>
      <patternFill patternType="gray125"/>
    </fill>
    <fill>
      <patternFill patternType="solid">
        <fgColor rgb="0000529B"/>
      </patternFill>
    </fill>
    <fill>
      <patternFill patternType="solid">
        <fgColor rgb="00107C41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" fillId="3" borderId="1" applyAlignment="1" pivotButton="0" quotePrefix="0" xfId="0">
      <alignment horizontal="center"/>
    </xf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3" fillId="4" borderId="0" pivotButton="0" quotePrefix="0" xfId="0"/>
    <xf numFmtId="0" fontId="4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Entradas vs Saídas — últimos 14 dias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'Dashboard'!G2</f>
            </strRef>
          </tx>
          <spPr>
            <a:ln>
              <a:prstDash val="solid"/>
            </a:ln>
          </spPr>
          <cat>
            <numRef>
              <f>'Dashboard'!$F$3:$F$16</f>
            </numRef>
          </cat>
          <val>
            <numRef>
              <f>'Dashboard'!$G$3:$G$16</f>
            </numRef>
          </val>
        </ser>
        <ser>
          <idx val="1"/>
          <order val="1"/>
          <tx>
            <strRef>
              <f>'Dashboard'!H2</f>
            </strRef>
          </tx>
          <spPr>
            <a:ln>
              <a:prstDash val="solid"/>
            </a:ln>
          </spPr>
          <cat>
            <numRef>
              <f>'Dashboard'!$F$3:$F$16</f>
            </numRef>
          </cat>
          <val>
            <numRef>
              <f>'Dashboard'!$H$3:$H$16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Saídas por item (catálogo base)</a:t>
            </a:r>
          </a:p>
        </rich>
      </tx>
    </title>
    <plotArea>
      <pieChart>
        <varyColors val="1"/>
        <ser>
          <idx val="0"/>
          <order val="0"/>
          <tx>
            <strRef>
              <f>'Dashboard'!K2</f>
            </strRef>
          </tx>
          <spPr>
            <a:ln>
              <a:prstDash val="solid"/>
            </a:ln>
          </spPr>
          <cat>
            <numRef>
              <f>'Dashboard'!$J$3:$J$12</f>
            </numRef>
          </cat>
          <val>
            <numRef>
              <f>'Dashboard'!$K$3:$K$12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ancamentos" displayName="Lancamentos" ref="A1:M2" headerRowCount="1">
  <autoFilter ref="A1:M2"/>
  <tableColumns count="13">
    <tableColumn id="1" name="ID"/>
    <tableColumn id="2" name="DataHora"/>
    <tableColumn id="3" name="Data"/>
    <tableColumn id="4" name="Operador"/>
    <tableColumn id="5" name="Codigo"/>
    <tableColumn id="6" name="Descricao"/>
    <tableColumn id="7" name="Tipo"/>
    <tableColumn id="8" name="Quantidade"/>
    <tableColumn id="9" name="Saldo"/>
    <tableColumn id="10" name="EstoqueSeg"/>
    <tableColumn id="11" name="PontoPedido"/>
    <tableColumn id="12" name="Status"/>
    <tableColumn id="13" name="Ori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tens" displayName="Itens" ref="A1:F11" headerRowCount="1">
  <autoFilter ref="A1:F11"/>
  <tableColumns count="6">
    <tableColumn id="1" name="Codigo"/>
    <tableColumn id="2" name="Descricao"/>
    <tableColumn id="3" name="Unidade"/>
    <tableColumn id="4" name="VenceRapido"/>
    <tableColumn id="5" name="EstoqueSeg"/>
    <tableColumn id="6" name="PontoPedido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16" customWidth="1" min="4" max="4"/>
    <col width="10" customWidth="1" min="5" max="5"/>
    <col width="40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8" customWidth="1" min="12" max="12"/>
    <col width="10" customWidth="1" min="13" max="13"/>
  </cols>
  <sheetData>
    <row r="1" ht="26" customHeight="1">
      <c r="A1" s="1" t="inlineStr">
        <is>
          <t>ID</t>
        </is>
      </c>
      <c r="B1" s="1" t="inlineStr">
        <is>
          <t>DataHora</t>
        </is>
      </c>
      <c r="C1" s="1" t="inlineStr">
        <is>
          <t>Data</t>
        </is>
      </c>
      <c r="D1" s="1" t="inlineStr">
        <is>
          <t>Operador</t>
        </is>
      </c>
      <c r="E1" s="1" t="inlineStr">
        <is>
          <t>Codigo</t>
        </is>
      </c>
      <c r="F1" s="1" t="inlineStr">
        <is>
          <t>Descricao</t>
        </is>
      </c>
      <c r="G1" s="1" t="inlineStr">
        <is>
          <t>Tipo</t>
        </is>
      </c>
      <c r="H1" s="1" t="inlineStr">
        <is>
          <t>Quantidade</t>
        </is>
      </c>
      <c r="I1" s="1" t="inlineStr">
        <is>
          <t>Saldo</t>
        </is>
      </c>
      <c r="J1" s="1" t="inlineStr">
        <is>
          <t>EstoqueSeg</t>
        </is>
      </c>
      <c r="K1" s="1" t="inlineStr">
        <is>
          <t>PontoPedido</t>
        </is>
      </c>
      <c r="L1" s="1" t="inlineStr">
        <is>
          <t>Status</t>
        </is>
      </c>
      <c r="M1" s="1" t="inlineStr">
        <is>
          <t>Origem</t>
        </is>
      </c>
    </row>
    <row r="2">
      <c r="A2" s="2" t="inlineStr">
        <is>
          <t>LIS-EXEMPLO-001</t>
        </is>
      </c>
      <c r="B2" s="2" t="inlineStr">
        <is>
          <t>2026-05-19T12:00:00.000Z</t>
        </is>
      </c>
      <c r="C2" s="2" t="inlineStr">
        <is>
          <t>19/05/2026 12:00:00</t>
        </is>
      </c>
      <c r="D2" s="2" t="inlineStr">
        <is>
          <t>Jeferson</t>
        </is>
      </c>
      <c r="E2" s="2" t="inlineStr">
        <is>
          <t>001</t>
        </is>
      </c>
      <c r="F2" s="3" t="inlineStr">
        <is>
          <t>Filtro de óleo (loja de peças)</t>
        </is>
      </c>
      <c r="G2" s="2" t="inlineStr">
        <is>
          <t>Entrada</t>
        </is>
      </c>
      <c r="H2" s="2" t="n">
        <v>10</v>
      </c>
      <c r="I2" s="2" t="n">
        <v>130</v>
      </c>
      <c r="J2" s="2" t="n">
        <v>40</v>
      </c>
      <c r="K2" s="2" t="n">
        <v>140</v>
      </c>
      <c r="L2" s="2" t="inlineStr">
        <is>
          <t>🟢 OK</t>
        </is>
      </c>
      <c r="M2" s="2" t="inlineStr">
        <is>
          <t>Site</t>
        </is>
      </c>
    </row>
  </sheetData>
  <autoFilter ref="A1:M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2" customWidth="1" min="3" max="3"/>
    <col width="13" customWidth="1" min="4" max="4"/>
    <col width="12" customWidth="1" min="5" max="5"/>
    <col width="13" customWidth="1" min="6" max="6"/>
  </cols>
  <sheetData>
    <row r="1" ht="24" customHeight="1">
      <c r="A1" s="4" t="inlineStr">
        <is>
          <t>Codigo</t>
        </is>
      </c>
      <c r="B1" s="4" t="inlineStr">
        <is>
          <t>Descricao</t>
        </is>
      </c>
      <c r="C1" s="4" t="inlineStr">
        <is>
          <t>Unidade</t>
        </is>
      </c>
      <c r="D1" s="4" t="inlineStr">
        <is>
          <t>VenceRapido</t>
        </is>
      </c>
      <c r="E1" s="4" t="inlineStr">
        <is>
          <t>EstoqueSeg</t>
        </is>
      </c>
      <c r="F1" s="4" t="inlineStr">
        <is>
          <t>PontoPedido</t>
        </is>
      </c>
    </row>
    <row r="2">
      <c r="A2" t="inlineStr">
        <is>
          <t>001</t>
        </is>
      </c>
      <c r="B2" t="inlineStr">
        <is>
          <t>Filtro de óleo (loja de peças)</t>
        </is>
      </c>
      <c r="C2" t="inlineStr">
        <is>
          <t>un</t>
        </is>
      </c>
      <c r="D2" t="inlineStr">
        <is>
          <t>Não</t>
        </is>
      </c>
      <c r="E2" t="n">
        <v>40</v>
      </c>
      <c r="F2" t="n">
        <v>140</v>
      </c>
    </row>
    <row r="3">
      <c r="A3" t="inlineStr">
        <is>
          <t>002</t>
        </is>
      </c>
      <c r="B3" t="inlineStr">
        <is>
          <t>Arroz (restaurante)</t>
        </is>
      </c>
      <c r="C3" t="inlineStr">
        <is>
          <t>kg</t>
        </is>
      </c>
      <c r="D3" t="inlineStr">
        <is>
          <t>Sim</t>
        </is>
      </c>
      <c r="E3" t="n">
        <v>10</v>
      </c>
      <c r="F3" t="n">
        <v>55</v>
      </c>
    </row>
    <row r="4">
      <c r="A4" t="inlineStr">
        <is>
          <t>003</t>
        </is>
      </c>
      <c r="B4" t="inlineStr">
        <is>
          <t>Chapas de MDF (fábrica de móveis)</t>
        </is>
      </c>
      <c r="C4" t="inlineStr">
        <is>
          <t>un</t>
        </is>
      </c>
      <c r="D4" t="inlineStr">
        <is>
          <t>Não</t>
        </is>
      </c>
      <c r="E4" t="n">
        <v>100</v>
      </c>
      <c r="F4" t="n">
        <v>300</v>
      </c>
    </row>
    <row r="5">
      <c r="A5" t="inlineStr">
        <is>
          <t>004</t>
        </is>
      </c>
      <c r="B5" t="inlineStr">
        <is>
          <t>Polivitamínico (farmácia)</t>
        </is>
      </c>
      <c r="C5" t="inlineStr">
        <is>
          <t>un</t>
        </is>
      </c>
      <c r="D5" t="inlineStr">
        <is>
          <t>Sim</t>
        </is>
      </c>
      <c r="E5" t="n">
        <v>30</v>
      </c>
      <c r="F5" t="n">
        <v>100</v>
      </c>
    </row>
    <row r="6">
      <c r="A6" t="inlineStr">
        <is>
          <t>005</t>
        </is>
      </c>
      <c r="B6" t="inlineStr">
        <is>
          <t>Resmas de papel A4 (papelaria)</t>
        </is>
      </c>
      <c r="C6" t="inlineStr">
        <is>
          <t>un</t>
        </is>
      </c>
      <c r="D6" t="inlineStr">
        <is>
          <t>Não</t>
        </is>
      </c>
      <c r="E6" t="n">
        <v>150</v>
      </c>
      <c r="F6" t="n">
        <v>350</v>
      </c>
    </row>
    <row r="7">
      <c r="A7" t="inlineStr">
        <is>
          <t>006</t>
        </is>
      </c>
      <c r="B7" t="inlineStr">
        <is>
          <t>Essência cosmética (cosméticos)</t>
        </is>
      </c>
      <c r="C7" t="inlineStr">
        <is>
          <t>L</t>
        </is>
      </c>
      <c r="D7" t="inlineStr">
        <is>
          <t>Sim</t>
        </is>
      </c>
      <c r="E7" t="n">
        <v>50</v>
      </c>
      <c r="F7" t="n">
        <v>150</v>
      </c>
    </row>
    <row r="8">
      <c r="A8" t="inlineStr">
        <is>
          <t>007</t>
        </is>
      </c>
      <c r="B8" t="inlineStr">
        <is>
          <t>Componente crítico (peças críticas)</t>
        </is>
      </c>
      <c r="C8" t="inlineStr">
        <is>
          <t>un</t>
        </is>
      </c>
      <c r="D8" t="inlineStr">
        <is>
          <t>Não</t>
        </is>
      </c>
      <c r="E8" t="n">
        <v>150</v>
      </c>
      <c r="F8" t="n">
        <v>450</v>
      </c>
    </row>
    <row r="9">
      <c r="A9" t="inlineStr">
        <is>
          <t>008</t>
        </is>
      </c>
      <c r="B9" t="inlineStr">
        <is>
          <t>Laptops (varejo eletrônicos)</t>
        </is>
      </c>
      <c r="C9" t="inlineStr">
        <is>
          <t>un</t>
        </is>
      </c>
      <c r="D9" t="inlineStr">
        <is>
          <t>Não</t>
        </is>
      </c>
      <c r="E9" t="n">
        <v>50</v>
      </c>
      <c r="F9" t="n">
        <v>200</v>
      </c>
    </row>
    <row r="10">
      <c r="A10" t="inlineStr">
        <is>
          <t>009</t>
        </is>
      </c>
      <c r="B10" t="inlineStr">
        <is>
          <t>Kits de luvas hospitalar (NR-32)</t>
        </is>
      </c>
      <c r="C10" t="inlineStr">
        <is>
          <t>cx</t>
        </is>
      </c>
      <c r="D10" t="inlineStr">
        <is>
          <t>Sim</t>
        </is>
      </c>
      <c r="E10" t="n">
        <v>2000</v>
      </c>
      <c r="F10" t="n">
        <v>7000</v>
      </c>
    </row>
    <row r="11">
      <c r="A11" t="inlineStr">
        <is>
          <t>010</t>
        </is>
      </c>
      <c r="B11" t="inlineStr">
        <is>
          <t>Insumo industrial</t>
        </is>
      </c>
      <c r="C11" t="inlineStr">
        <is>
          <t>un</t>
        </is>
      </c>
      <c r="D11" t="inlineStr">
        <is>
          <t>Não</t>
        </is>
      </c>
      <c r="E11" t="n">
        <v>200</v>
      </c>
      <c r="F11" t="n">
        <v>600</v>
      </c>
    </row>
  </sheetData>
  <autoFilter ref="A1:F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4" customWidth="1" min="6" max="6"/>
    <col width="14" customWidth="1" min="7" max="7"/>
    <col width="14" customWidth="1" min="8" max="8"/>
    <col width="10" customWidth="1" min="10" max="10"/>
    <col width="12" customWidth="1" min="11" max="11"/>
  </cols>
  <sheetData>
    <row r="1">
      <c r="A1" s="5" t="inlineStr">
        <is>
          <t>Dashboard — Gestão de Estoque LIS</t>
        </is>
      </c>
    </row>
    <row r="2">
      <c r="F2" s="6" t="inlineStr">
        <is>
          <t>Data</t>
        </is>
      </c>
      <c r="G2" s="6" t="inlineStr">
        <is>
          <t>Entradas</t>
        </is>
      </c>
      <c r="H2" s="6" t="inlineStr">
        <is>
          <t>Saídas</t>
        </is>
      </c>
      <c r="J2" s="6" t="inlineStr">
        <is>
          <t>Item</t>
        </is>
      </c>
      <c r="K2" s="6" t="inlineStr">
        <is>
          <t>Saídas</t>
        </is>
      </c>
    </row>
    <row r="3">
      <c r="A3" s="7" t="inlineStr">
        <is>
          <t>Total de movimentações</t>
        </is>
      </c>
      <c r="B3" s="8">
        <f>COUNTA(Lancamentos!E:E)-1</f>
        <v/>
      </c>
      <c r="F3" s="9">
        <f>TODAY()-13</f>
        <v/>
      </c>
      <c r="G3">
        <f>SUMPRODUCT((LEFT(Lancamentos!C$2:C$5000,10)=TEXT(F3,"dd/mm/yyyy"))*(Lancamentos!G$2:G$5000="Entrada")*Lancamentos!H$2:H$5000)</f>
        <v/>
      </c>
      <c r="H3">
        <f>SUMPRODUCT((LEFT(Lancamentos!C$2:C$5000,10)=TEXT(F3,"dd/mm/yyyy"))*(Lancamentos!G$2:G$5000="Saída")*Lancamentos!H$2:H$5000)</f>
        <v/>
      </c>
      <c r="J3" t="inlineStr">
        <is>
          <t>001</t>
        </is>
      </c>
      <c r="K3">
        <f>SUMIFS(Lancamentos!H:H,Lancamentos!E:E,J3,Lancamentos!G:G,"Saída")</f>
        <v/>
      </c>
    </row>
    <row r="4">
      <c r="A4" s="7" t="inlineStr">
        <is>
          <t>Quantidade total ENTRADAS</t>
        </is>
      </c>
      <c r="B4" s="8">
        <f>SUMIFS(Lancamentos!H:H,Lancamentos!G:G,"Entrada")</f>
        <v/>
      </c>
      <c r="F4" s="9">
        <f>TODAY()-12</f>
        <v/>
      </c>
      <c r="G4">
        <f>SUMPRODUCT((LEFT(Lancamentos!C$2:C$5000,10)=TEXT(F4,"dd/mm/yyyy"))*(Lancamentos!G$2:G$5000="Entrada")*Lancamentos!H$2:H$5000)</f>
        <v/>
      </c>
      <c r="H4">
        <f>SUMPRODUCT((LEFT(Lancamentos!C$2:C$5000,10)=TEXT(F4,"dd/mm/yyyy"))*(Lancamentos!G$2:G$5000="Saída")*Lancamentos!H$2:H$5000)</f>
        <v/>
      </c>
      <c r="J4" t="inlineStr">
        <is>
          <t>002</t>
        </is>
      </c>
      <c r="K4">
        <f>SUMIFS(Lancamentos!H:H,Lancamentos!E:E,J4,Lancamentos!G:G,"Saída")</f>
        <v/>
      </c>
    </row>
    <row r="5">
      <c r="A5" s="7" t="inlineStr">
        <is>
          <t>Quantidade total SAÍDAS</t>
        </is>
      </c>
      <c r="B5" s="8">
        <f>SUMIFS(Lancamentos!H:H,Lancamentos!G:G,"Saída")</f>
        <v/>
      </c>
      <c r="F5" s="9">
        <f>TODAY()-11</f>
        <v/>
      </c>
      <c r="G5">
        <f>SUMPRODUCT((LEFT(Lancamentos!C$2:C$5000,10)=TEXT(F5,"dd/mm/yyyy"))*(Lancamentos!G$2:G$5000="Entrada")*Lancamentos!H$2:H$5000)</f>
        <v/>
      </c>
      <c r="H5">
        <f>SUMPRODUCT((LEFT(Lancamentos!C$2:C$5000,10)=TEXT(F5,"dd/mm/yyyy"))*(Lancamentos!G$2:G$5000="Saída")*Lancamentos!H$2:H$5000)</f>
        <v/>
      </c>
      <c r="J5" t="inlineStr">
        <is>
          <t>003</t>
        </is>
      </c>
      <c r="K5">
        <f>SUMIFS(Lancamentos!H:H,Lancamentos!E:E,J5,Lancamentos!G:G,"Saída")</f>
        <v/>
      </c>
    </row>
    <row r="6">
      <c r="A6" s="7" t="inlineStr">
        <is>
          <t>Operadores únicos</t>
        </is>
      </c>
      <c r="B6" s="8">
        <f>SUMPRODUCT((Lancamentos!D2:D5000&lt;&gt;"")/COUNTIF(Lancamentos!D2:D5000,Lancamentos!D2:D5000&amp;""))</f>
        <v/>
      </c>
      <c r="F6" s="9">
        <f>TODAY()-10</f>
        <v/>
      </c>
      <c r="G6">
        <f>SUMPRODUCT((LEFT(Lancamentos!C$2:C$5000,10)=TEXT(F6,"dd/mm/yyyy"))*(Lancamentos!G$2:G$5000="Entrada")*Lancamentos!H$2:H$5000)</f>
        <v/>
      </c>
      <c r="H6">
        <f>SUMPRODUCT((LEFT(Lancamentos!C$2:C$5000,10)=TEXT(F6,"dd/mm/yyyy"))*(Lancamentos!G$2:G$5000="Saída")*Lancamentos!H$2:H$5000)</f>
        <v/>
      </c>
      <c r="J6" t="inlineStr">
        <is>
          <t>004</t>
        </is>
      </c>
      <c r="K6">
        <f>SUMIFS(Lancamentos!H:H,Lancamentos!E:E,J6,Lancamentos!G:G,"Saída")</f>
        <v/>
      </c>
    </row>
    <row r="7">
      <c r="A7" s="7" t="inlineStr">
        <is>
          <t>Itens em status CRÍTICO 🔴</t>
        </is>
      </c>
      <c r="B7" s="8">
        <f>COUNTIF(Lancamentos!L:L,"*CRÍTICO*")</f>
        <v/>
      </c>
      <c r="F7" s="9">
        <f>TODAY()-9</f>
        <v/>
      </c>
      <c r="G7">
        <f>SUMPRODUCT((LEFT(Lancamentos!C$2:C$5000,10)=TEXT(F7,"dd/mm/yyyy"))*(Lancamentos!G$2:G$5000="Entrada")*Lancamentos!H$2:H$5000)</f>
        <v/>
      </c>
      <c r="H7">
        <f>SUMPRODUCT((LEFT(Lancamentos!C$2:C$5000,10)=TEXT(F7,"dd/mm/yyyy"))*(Lancamentos!G$2:G$5000="Saída")*Lancamentos!H$2:H$5000)</f>
        <v/>
      </c>
      <c r="J7" t="inlineStr">
        <is>
          <t>005</t>
        </is>
      </c>
      <c r="K7">
        <f>SUMIFS(Lancamentos!H:H,Lancamentos!E:E,J7,Lancamentos!G:G,"Saída")</f>
        <v/>
      </c>
    </row>
    <row r="8">
      <c r="A8" s="7" t="inlineStr">
        <is>
          <t>Itens em status PEDIR 🟡</t>
        </is>
      </c>
      <c r="B8" s="8">
        <f>COUNTIF(Lancamentos!L:L,"*PEDIR*")</f>
        <v/>
      </c>
      <c r="F8" s="9">
        <f>TODAY()-8</f>
        <v/>
      </c>
      <c r="G8">
        <f>SUMPRODUCT((LEFT(Lancamentos!C$2:C$5000,10)=TEXT(F8,"dd/mm/yyyy"))*(Lancamentos!G$2:G$5000="Entrada")*Lancamentos!H$2:H$5000)</f>
        <v/>
      </c>
      <c r="H8">
        <f>SUMPRODUCT((LEFT(Lancamentos!C$2:C$5000,10)=TEXT(F8,"dd/mm/yyyy"))*(Lancamentos!G$2:G$5000="Saída")*Lancamentos!H$2:H$5000)</f>
        <v/>
      </c>
      <c r="J8" t="inlineStr">
        <is>
          <t>006</t>
        </is>
      </c>
      <c r="K8">
        <f>SUMIFS(Lancamentos!H:H,Lancamentos!E:E,J8,Lancamentos!G:G,"Saída")</f>
        <v/>
      </c>
    </row>
    <row r="9">
      <c r="F9" s="9">
        <f>TODAY()-7</f>
        <v/>
      </c>
      <c r="G9">
        <f>SUMPRODUCT((LEFT(Lancamentos!C$2:C$5000,10)=TEXT(F9,"dd/mm/yyyy"))*(Lancamentos!G$2:G$5000="Entrada")*Lancamentos!H$2:H$5000)</f>
        <v/>
      </c>
      <c r="H9">
        <f>SUMPRODUCT((LEFT(Lancamentos!C$2:C$5000,10)=TEXT(F9,"dd/mm/yyyy"))*(Lancamentos!G$2:G$5000="Saída")*Lancamentos!H$2:H$5000)</f>
        <v/>
      </c>
      <c r="J9" t="inlineStr">
        <is>
          <t>007</t>
        </is>
      </c>
      <c r="K9">
        <f>SUMIFS(Lancamentos!H:H,Lancamentos!E:E,J9,Lancamentos!G:G,"Saída")</f>
        <v/>
      </c>
    </row>
    <row r="10">
      <c r="F10" s="9">
        <f>TODAY()-6</f>
        <v/>
      </c>
      <c r="G10">
        <f>SUMPRODUCT((LEFT(Lancamentos!C$2:C$5000,10)=TEXT(F10,"dd/mm/yyyy"))*(Lancamentos!G$2:G$5000="Entrada")*Lancamentos!H$2:H$5000)</f>
        <v/>
      </c>
      <c r="H10">
        <f>SUMPRODUCT((LEFT(Lancamentos!C$2:C$5000,10)=TEXT(F10,"dd/mm/yyyy"))*(Lancamentos!G$2:G$5000="Saída")*Lancamentos!H$2:H$5000)</f>
        <v/>
      </c>
      <c r="J10" t="inlineStr">
        <is>
          <t>008</t>
        </is>
      </c>
      <c r="K10">
        <f>SUMIFS(Lancamentos!H:H,Lancamentos!E:E,J10,Lancamentos!G:G,"Saída")</f>
        <v/>
      </c>
    </row>
    <row r="11">
      <c r="F11" s="9">
        <f>TODAY()-5</f>
        <v/>
      </c>
      <c r="G11">
        <f>SUMPRODUCT((LEFT(Lancamentos!C$2:C$5000,10)=TEXT(F11,"dd/mm/yyyy"))*(Lancamentos!G$2:G$5000="Entrada")*Lancamentos!H$2:H$5000)</f>
        <v/>
      </c>
      <c r="H11">
        <f>SUMPRODUCT((LEFT(Lancamentos!C$2:C$5000,10)=TEXT(F11,"dd/mm/yyyy"))*(Lancamentos!G$2:G$5000="Saída")*Lancamentos!H$2:H$5000)</f>
        <v/>
      </c>
      <c r="J11" t="inlineStr">
        <is>
          <t>009</t>
        </is>
      </c>
      <c r="K11">
        <f>SUMIFS(Lancamentos!H:H,Lancamentos!E:E,J11,Lancamentos!G:G,"Saída")</f>
        <v/>
      </c>
    </row>
    <row r="12">
      <c r="F12" s="9">
        <f>TODAY()-4</f>
        <v/>
      </c>
      <c r="G12">
        <f>SUMPRODUCT((LEFT(Lancamentos!C$2:C$5000,10)=TEXT(F12,"dd/mm/yyyy"))*(Lancamentos!G$2:G$5000="Entrada")*Lancamentos!H$2:H$5000)</f>
        <v/>
      </c>
      <c r="H12">
        <f>SUMPRODUCT((LEFT(Lancamentos!C$2:C$5000,10)=TEXT(F12,"dd/mm/yyyy"))*(Lancamentos!G$2:G$5000="Saída")*Lancamentos!H$2:H$5000)</f>
        <v/>
      </c>
      <c r="J12" t="inlineStr">
        <is>
          <t>010</t>
        </is>
      </c>
      <c r="K12">
        <f>SUMIFS(Lancamentos!H:H,Lancamentos!E:E,J12,Lancamentos!G:G,"Saída")</f>
        <v/>
      </c>
    </row>
    <row r="13">
      <c r="F13" s="9">
        <f>TODAY()-3</f>
        <v/>
      </c>
      <c r="G13">
        <f>SUMPRODUCT((LEFT(Lancamentos!C$2:C$5000,10)=TEXT(F13,"dd/mm/yyyy"))*(Lancamentos!G$2:G$5000="Entrada")*Lancamentos!H$2:H$5000)</f>
        <v/>
      </c>
      <c r="H13">
        <f>SUMPRODUCT((LEFT(Lancamentos!C$2:C$5000,10)=TEXT(F13,"dd/mm/yyyy"))*(Lancamentos!G$2:G$5000="Saída")*Lancamentos!H$2:H$5000)</f>
        <v/>
      </c>
    </row>
    <row r="14">
      <c r="F14" s="9">
        <f>TODAY()-2</f>
        <v/>
      </c>
      <c r="G14">
        <f>SUMPRODUCT((LEFT(Lancamentos!C$2:C$5000,10)=TEXT(F14,"dd/mm/yyyy"))*(Lancamentos!G$2:G$5000="Entrada")*Lancamentos!H$2:H$5000)</f>
        <v/>
      </c>
      <c r="H14">
        <f>SUMPRODUCT((LEFT(Lancamentos!C$2:C$5000,10)=TEXT(F14,"dd/mm/yyyy"))*(Lancamentos!G$2:G$5000="Saída")*Lancamentos!H$2:H$5000)</f>
        <v/>
      </c>
    </row>
    <row r="15">
      <c r="F15" s="9">
        <f>TODAY()-1</f>
        <v/>
      </c>
      <c r="G15">
        <f>SUMPRODUCT((LEFT(Lancamentos!C$2:C$5000,10)=TEXT(F15,"dd/mm/yyyy"))*(Lancamentos!G$2:G$5000="Entrada")*Lancamentos!H$2:H$5000)</f>
        <v/>
      </c>
      <c r="H15">
        <f>SUMPRODUCT((LEFT(Lancamentos!C$2:C$5000,10)=TEXT(F15,"dd/mm/yyyy"))*(Lancamentos!G$2:G$5000="Saída")*Lancamentos!H$2:H$5000)</f>
        <v/>
      </c>
    </row>
    <row r="16">
      <c r="F16" s="9">
        <f>TODAY()-0</f>
        <v/>
      </c>
      <c r="G16">
        <f>SUMPRODUCT((LEFT(Lancamentos!C$2:C$5000,10)=TEXT(F16,"dd/mm/yyyy"))*(Lancamentos!G$2:G$5000="Entrada")*Lancamentos!H$2:H$5000)</f>
        <v/>
      </c>
      <c r="H16">
        <f>SUMPRODUCT((LEFT(Lancamentos!C$2:C$5000,10)=TEXT(F16,"dd/mm/yyyy"))*(Lancamentos!G$2:G$5000="Saída")*Lancamentos!H$2:H$5000)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2026-05-20T17:02:51Z</dcterms:created>
  <dcterms:modified xsi:type="dcterms:W3CDTF">2026-05-20T17:02:51Z</dcterms:modified>
</cp:coreProperties>
</file>