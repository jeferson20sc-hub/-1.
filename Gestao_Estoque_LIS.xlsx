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sesisenaispedu-my.sharepoint.com/personal/jeferson_cardoso5_senaisp_edu_br/Documents/"/>
    </mc:Choice>
  </mc:AlternateContent>
  <xr:revisionPtr revIDLastSave="0" documentId="8_{96AC3E2F-5D44-4825-9D18-32076F18A9BF}" xr6:coauthVersionLast="47" xr6:coauthVersionMax="47" xr10:uidLastSave="{00000000-0000-0000-0000-000000000000}"/>
  <bookViews>
    <workbookView xWindow="5340" yWindow="2115" windowWidth="21600" windowHeight="11295" tabRatio="500" firstSheet="1" activeTab="1" xr2:uid="{00000000-000D-0000-FFFF-FFFF00000000}"/>
  </bookViews>
  <sheets>
    <sheet name="CÁLCULOS" sheetId="2" r:id="rId1"/>
    <sheet name="CONTROLE DE ESTOQUE" sheetId="3" r:id="rId2"/>
    <sheet name="Dados" sheetId="6" r:id="rId3"/>
    <sheet name="GRÁFICOS" sheetId="4" r:id="rId4"/>
    <sheet name="DASHBOARD" sheetId="5" r:id="rId5"/>
    <sheet name="PARETO" sheetId="7" r:id="rId1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5" l="1"/>
  <c r="E21" i="5"/>
  <c r="C21" i="5"/>
  <c r="B21" i="5"/>
  <c r="F20" i="5"/>
  <c r="E20" i="5"/>
  <c r="C20" i="5"/>
  <c r="B20" i="5"/>
  <c r="F19" i="5"/>
  <c r="E19" i="5"/>
  <c r="C19" i="5"/>
  <c r="B19" i="5"/>
  <c r="F18" i="5"/>
  <c r="E18" i="5"/>
  <c r="C18" i="5"/>
  <c r="B18" i="5"/>
  <c r="F17" i="5"/>
  <c r="E17" i="5"/>
  <c r="C17" i="5"/>
  <c r="B17" i="5"/>
  <c r="F16" i="5"/>
  <c r="E16" i="5"/>
  <c r="C16" i="5"/>
  <c r="B16" i="5"/>
  <c r="F15" i="5"/>
  <c r="E15" i="5"/>
  <c r="C15" i="5"/>
  <c r="B15" i="5"/>
  <c r="F14" i="5"/>
  <c r="E14" i="5"/>
  <c r="C14" i="5"/>
  <c r="B14" i="5"/>
  <c r="F13" i="5"/>
  <c r="E13" i="5"/>
  <c r="C13" i="5"/>
  <c r="B13" i="5"/>
  <c r="F12" i="5"/>
  <c r="E12" i="5"/>
  <c r="C12" i="5"/>
  <c r="B12" i="5"/>
  <c r="B6" i="5"/>
  <c r="H14" i="3"/>
  <c r="H13" i="3"/>
  <c r="H12" i="3"/>
  <c r="H11" i="3"/>
  <c r="H10" i="3"/>
  <c r="H9" i="3"/>
  <c r="H8" i="3"/>
  <c r="H7" i="3"/>
  <c r="H6" i="3"/>
  <c r="H5" i="3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H7" i="2"/>
  <c r="D12" i="5" l="1"/>
  <c r="K5" i="3"/>
  <c r="D13" i="5"/>
  <c r="K6" i="3"/>
  <c r="I13" i="5" s="1"/>
  <c r="D14" i="5"/>
  <c r="K7" i="3"/>
  <c r="I14" i="5" s="1"/>
  <c r="D15" i="5"/>
  <c r="K8" i="3"/>
  <c r="I15" i="5" s="1"/>
  <c r="D16" i="5"/>
  <c r="K9" i="3"/>
  <c r="I16" i="5" s="1"/>
  <c r="D17" i="5"/>
  <c r="K10" i="3"/>
  <c r="I17" i="5" s="1"/>
  <c r="D18" i="5"/>
  <c r="K11" i="3"/>
  <c r="I18" i="5" s="1"/>
  <c r="D19" i="5"/>
  <c r="K12" i="3"/>
  <c r="I19" i="5" s="1"/>
  <c r="D20" i="5"/>
  <c r="K13" i="3"/>
  <c r="I20" i="5" s="1"/>
  <c r="D21" i="5"/>
  <c r="K14" i="3"/>
  <c r="I21" i="5" s="1"/>
  <c r="H21" i="5" l="1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I12" i="5"/>
  <c r="H6" i="5"/>
  <c r="F6" i="5"/>
  <c r="D6" i="5"/>
  <c r="H12" i="5"/>
  <c r="G12" i="5"/>
</calcChain>
</file>

<file path=xl/sharedStrings.xml><?xml version="1.0" encoding="utf-8"?>
<sst xmlns="http://schemas.openxmlformats.org/spreadsheetml/2006/main" count="125" uniqueCount="107">
  <si>
    <t>CÁLCULOS DOS 10 EXERCÍCIOS</t>
  </si>
  <si>
    <t>Resolução manual (sem IA). Fórmulas escritas no Excel para auditoria.</t>
  </si>
  <si>
    <t>Fórmulas: PP = (C × TR) + ES   |   ES = C × K   |   C = Σ consumos / n</t>
  </si>
  <si>
    <t>ITEM</t>
  </si>
  <si>
    <t>CENÁRIO</t>
  </si>
  <si>
    <t>CONSUMO (C)</t>
  </si>
  <si>
    <t>TEMPO REP. (TR)</t>
  </si>
  <si>
    <t>K ou ES</t>
  </si>
  <si>
    <t>ES</t>
  </si>
  <si>
    <t>PP</t>
  </si>
  <si>
    <t>MEMÓRIA DE CÁLCULO</t>
  </si>
  <si>
    <t>001</t>
  </si>
  <si>
    <t>Filtro de óleo (loja de peças)</t>
  </si>
  <si>
    <t>20 un/dia</t>
  </si>
  <si>
    <t>5 dias</t>
  </si>
  <si>
    <t>ES = 40 un (dado)</t>
  </si>
  <si>
    <t>PP = (C×TR) + ES = (20×5) + 40 = 100 + 40 = 140 unidades</t>
  </si>
  <si>
    <t>002</t>
  </si>
  <si>
    <t>Arroz (restaurante)</t>
  </si>
  <si>
    <t>15 kg/dia</t>
  </si>
  <si>
    <t>3 dias</t>
  </si>
  <si>
    <t>ES = 10 kg (dado)</t>
  </si>
  <si>
    <t>PP = (15×3) + 10 = 45 + 10 = 55 kg</t>
  </si>
  <si>
    <t>003</t>
  </si>
  <si>
    <t>Chapas de MDF (fábrica de móveis)</t>
  </si>
  <si>
    <t>50 chapas/dia</t>
  </si>
  <si>
    <t>4 dias</t>
  </si>
  <si>
    <t>K = 200% (2,0)</t>
  </si>
  <si>
    <t>ES = 50×2,0 = 100 | PP = (50×4) + 100 = 200 + 100 = 300 chapas</t>
  </si>
  <si>
    <t>004</t>
  </si>
  <si>
    <t>Polivitamínico (farmácia)</t>
  </si>
  <si>
    <t>10 un/dia</t>
  </si>
  <si>
    <t>7 dias</t>
  </si>
  <si>
    <t>K = 300% (3,0)</t>
  </si>
  <si>
    <t>ES = 10×3,0 = 30 | PP = (10×7) + 30 = 70 + 30 = 100 unidades</t>
  </si>
  <si>
    <t>005</t>
  </si>
  <si>
    <t>Resmas de papel A4 (papelaria)</t>
  </si>
  <si>
    <t>100 resmas/sem</t>
  </si>
  <si>
    <t>2 semanas</t>
  </si>
  <si>
    <t>K = 150% (1,5)</t>
  </si>
  <si>
    <t>ES = 100×1,5 = 150 | PP = (100×2) + 150 = 200 + 150 = 350 resmas</t>
  </si>
  <si>
    <t>006</t>
  </si>
  <si>
    <t>Essência cosmética (cosméticos)</t>
  </si>
  <si>
    <t>≈6,67 L/dia (200 L/mês)</t>
  </si>
  <si>
    <t>15 dias</t>
  </si>
  <si>
    <t>K = 25% (mensal)</t>
  </si>
  <si>
    <t>C médio mensal = (180+210+210)/3 = 200 L/mês | C/dia ≈ 6,67 | ES = 200×0,25 = 50 L | PP = (6,67×15) + 50 = 150 L</t>
  </si>
  <si>
    <t>007</t>
  </si>
  <si>
    <t>Componente crítico (DEVE PEDIR)</t>
  </si>
  <si>
    <t>30 un/dia (méd seg/ter/qua)</t>
  </si>
  <si>
    <t>10 dias</t>
  </si>
  <si>
    <t>K = 500% (5,0)</t>
  </si>
  <si>
    <t>C médio = (25+35+30)/3 = 30 un/dia | ES = 30×5 = 150 | PP = (30×10) + 150 = 450 un | Estoque atual 400 &lt; 450 → PEDIR JÁ</t>
  </si>
  <si>
    <t>008</t>
  </si>
  <si>
    <t>Laptops (varejo eletrônicos)</t>
  </si>
  <si>
    <t>5 un/dia (150/mês)</t>
  </si>
  <si>
    <t>30 dias</t>
  </si>
  <si>
    <t>K = 1000% (10,0)</t>
  </si>
  <si>
    <t>C mensal médio = (140+160+150)/3 = 150 | C diário = 5 | ES = 5×10 = 50 | PP = (5×30) + 50 = 150 + 50 = 200 unidades</t>
  </si>
  <si>
    <t>009</t>
  </si>
  <si>
    <t>Kits de luvas hospitalar (NR-32)</t>
  </si>
  <si>
    <t>500 kits/dia (15.000/mês)</t>
  </si>
  <si>
    <t>K = 400% (4,0)</t>
  </si>
  <si>
    <t>C mensal = (14.000+16.000+15.000)/3 = 15.000 | C diário = 500 | ES = 500×4 = 2.000 | PP = (500×10) + 2.000 = 7.000 kits</t>
  </si>
  <si>
    <t>010</t>
  </si>
  <si>
    <t>Insumo industrial</t>
  </si>
  <si>
    <t>40 un/dia (1.200/mês)</t>
  </si>
  <si>
    <t>C mensal = (1.100+1.300+1.200)/3 = 1.200 | C diário = 40 | ES = 40×5 = 200 | PP = (40×10) + 200 = 400 + 200 = 600 unidades</t>
  </si>
  <si>
    <t>PLANILHA DE CONTROLE DE FLUXO DE MATERIAIS</t>
  </si>
  <si>
    <t>Saldo calculado por fórmula (Entrada − Saída). Status muda automaticamente conforme o nível bate o PP ou o ES.</t>
  </si>
  <si>
    <t>🟢 OK — Saldo &gt; PP</t>
  </si>
  <si>
    <t>🟡 PEDIR AGORA — Saldo ≤ PP</t>
  </si>
  <si>
    <t>🔴 CRÍTICO — Saldo ≤ ES</t>
  </si>
  <si>
    <t>DATA/HORA</t>
  </si>
  <si>
    <t>OPERADOR</t>
  </si>
  <si>
    <t>CÓDIGO</t>
  </si>
  <si>
    <t>DESCRIÇÃO DO ITEM</t>
  </si>
  <si>
    <t>ENTRADA</t>
  </si>
  <si>
    <t>SAÍDA</t>
  </si>
  <si>
    <t>QTD/SALDO</t>
  </si>
  <si>
    <t>ESTOQUE DE SEGURANÇA (ES)</t>
  </si>
  <si>
    <t>PONTO DE PEDIDO (PP)</t>
  </si>
  <si>
    <t>STATUS</t>
  </si>
  <si>
    <t>Filtro de óleo (un)</t>
  </si>
  <si>
    <t>Arroz (kg)</t>
  </si>
  <si>
    <t>Chapas de MDF</t>
  </si>
  <si>
    <t>Polivitamínico (un)</t>
  </si>
  <si>
    <t>Resmas de papel A4</t>
  </si>
  <si>
    <t>Essência cosmética (L)</t>
  </si>
  <si>
    <t>Componente crítico (un)</t>
  </si>
  <si>
    <t>Laptops (un)</t>
  </si>
  <si>
    <t>Kits de luvas</t>
  </si>
  <si>
    <t>Insumo industrial (un)</t>
  </si>
  <si>
    <t>Data/Hora</t>
  </si>
  <si>
    <t>Operad</t>
  </si>
  <si>
    <t>DENTE DE SERRA — UM GRÁFICO POR EXERCÍCIO</t>
  </si>
  <si>
    <t>Cada gráfico usa os valores reais de C, TR, ES e PP do exercício correspondente. O ciclo mostra: queda linear → toque no PP (pedido) → continua caindo até o ES → reposição → reinício.</t>
  </si>
  <si>
    <t>DASHBOARD — VISÃO DO GESTOR</t>
  </si>
  <si>
    <t>KPIs derivados da aba CONTROLE DE ESTOQUE com sinalizações automáticas.</t>
  </si>
  <si>
    <t>TOTAL DE ITENS</t>
  </si>
  <si>
    <t>ITENS OK</t>
  </si>
  <si>
    <t>ITENS A PEDIR</t>
  </si>
  <si>
    <t>ITENS CRÍTICOS</t>
  </si>
  <si>
    <t>RESUMO POR ITEM</t>
  </si>
  <si>
    <t>SALDO</t>
  </si>
  <si>
    <t>% até PP</t>
  </si>
  <si>
    <t>× sobre 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</si>
</sst>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\×"/>
  </numFmts>
  <fonts count="22">
    <font>
      <sz val="11"/>
      <color theme="1"/>
      <name val="Calibri"/>
      <family val="2"/>
      <charset val="1"/>
    </font>
    <font>
      <b/>
      <sz val="22"/>
      <color rgb="FFC00000"/>
      <name val="Verdana"/>
      <charset val="1"/>
    </font>
    <font>
      <i/>
      <sz val="10"/>
      <color rgb="FF595959"/>
      <name val="Verdana"/>
      <charset val="1"/>
    </font>
    <font>
      <b/>
      <sz val="22"/>
      <color rgb="FFC00000"/>
      <name val="Segoe UI"/>
    </font>
    <font>
      <sz val="11"/>
      <color theme="1"/>
      <name val="Segoe UI"/>
    </font>
    <font>
      <i/>
      <sz val="10"/>
      <color rgb="FF595959"/>
      <name val="Segoe UI"/>
    </font>
    <font>
      <b/>
      <sz val="10"/>
      <color rgb="FFFFFFFF"/>
      <name val="Segoe UI"/>
    </font>
    <font>
      <b/>
      <sz val="10"/>
      <color rgb="FF9C5700"/>
      <name val="Segoe UI"/>
    </font>
    <font>
      <b/>
      <sz val="28"/>
      <color rgb="FFC00000"/>
      <name val="Segoe UI"/>
    </font>
    <font>
      <b/>
      <sz val="28"/>
      <color rgb="FF006100"/>
      <name val="Segoe UI"/>
    </font>
    <font>
      <b/>
      <sz val="28"/>
      <color rgb="FF9C5700"/>
      <name val="Segoe UI"/>
    </font>
    <font>
      <b/>
      <sz val="28"/>
      <color rgb="FF9C0006"/>
      <name val="Segoe UI"/>
    </font>
    <font>
      <b/>
      <sz val="14"/>
      <color rgb="FFFFFFFF"/>
      <name val="Segoe UI"/>
    </font>
    <font>
      <b/>
      <sz val="10"/>
      <color rgb="FF7B0000"/>
      <name val="Segoe UI"/>
    </font>
    <font>
      <sz val="10"/>
      <color rgb="FF000000"/>
      <name val="Segoe UI"/>
    </font>
    <font>
      <b/>
      <sz val="10"/>
      <color rgb="FF000000"/>
      <name val="Segoe UI"/>
    </font>
    <font>
      <b/>
      <sz val="10"/>
      <color rgb="FF006100"/>
      <name val="Segoe UI"/>
    </font>
    <font>
      <b/>
      <sz val="10"/>
      <color rgb="FF9C0006"/>
      <name val="Segoe UI"/>
    </font>
    <font>
      <b/>
      <sz val="11"/>
      <color rgb="FFFFFFFF"/>
      <name val="Segoe UI"/>
    </font>
    <font>
      <b/>
      <sz val="11"/>
      <color rgb="FF7B0000"/>
      <name val="Segoe UI"/>
    </font>
    <font>
      <b/>
      <sz val="11"/>
      <color rgb="FF000000"/>
      <name val="Segoe UI"/>
    </font>
    <font>
      <b/>
      <sz val="11"/>
      <color rgb="FFC00000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C00000"/>
        <bgColor rgb="FF9C0006"/>
      </patternFill>
    </fill>
    <fill>
      <patternFill patternType="solid">
        <fgColor rgb="FF7B0000"/>
        <bgColor rgb="FF9C0006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C6EFCE"/>
        <bgColor rgb="FFD9D9D9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006100"/>
        <bgColor rgb="FF003300"/>
      </patternFill>
    </fill>
    <fill>
      <patternFill patternType="solid">
        <fgColor rgb="FF9C0006"/>
        <bgColor rgb="FF7B00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0" xfId="0" applyFont="1"/>
    <xf numFmtId="0" fontId="4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 indent="1"/>
    </xf>
    <xf numFmtId="3" fontId="14" fillId="4" borderId="1" xfId="0" applyNumberFormat="1" applyFont="1" applyFill="1" applyBorder="1" applyAlignment="1">
      <alignment horizontal="center" vertical="center" wrapText="1"/>
    </xf>
    <xf numFmtId="164" fontId="14" fillId="4" borderId="1" xfId="0" applyNumberFormat="1" applyFont="1" applyFill="1" applyBorder="1" applyAlignment="1">
      <alignment horizontal="center" vertical="center" wrapText="1"/>
    </xf>
    <xf numFmtId="165" fontId="14" fillId="4" borderId="1" xfId="0" applyNumberFormat="1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 wrapText="1" indent="1"/>
    </xf>
    <xf numFmtId="3" fontId="14" fillId="5" borderId="1" xfId="0" applyNumberFormat="1" applyFont="1" applyFill="1" applyBorder="1" applyAlignment="1">
      <alignment horizontal="center" vertical="center" wrapText="1"/>
    </xf>
    <xf numFmtId="164" fontId="14" fillId="5" borderId="1" xfId="0" applyNumberFormat="1" applyFont="1" applyFill="1" applyBorder="1" applyAlignment="1">
      <alignment horizontal="center" vertical="center" wrapText="1"/>
    </xf>
    <xf numFmtId="165" fontId="14" fillId="5" borderId="1" xfId="0" applyNumberFormat="1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 indent="1"/>
    </xf>
    <xf numFmtId="3" fontId="14" fillId="0" borderId="1" xfId="0" applyNumberFormat="1" applyFont="1" applyBorder="1" applyAlignment="1">
      <alignment horizontal="center" vertical="center" wrapText="1"/>
    </xf>
    <xf numFmtId="3" fontId="20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3" fontId="21" fillId="4" borderId="1" xfId="0" applyNumberFormat="1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3" fontId="21" fillId="5" borderId="1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5" fillId="0" borderId="0" xfId="0" applyFont="1" applyAlignment="1"/>
    <xf numFmtId="0" fontId="19" fillId="0" borderId="0" xfId="0" applyFont="1" applyAlignment="1"/>
    <xf numFmtId="0" fontId="2" fillId="0" borderId="0" xfId="0" applyFont="1" applyAlignment="1"/>
  </cellXfs>
  <cellStyles count="1">
    <cellStyle name="Normal" xfId="0" builtinId="0"/>
  </cellStyles>
  <dxfs count="23">
    <dxf>
      <font>
        <b/>
        <sz val="10"/>
        <color rgb="FF006100"/>
        <name val="Verdana"/>
        <charset val="1"/>
      </font>
      <fill>
        <patternFill>
          <bgColor rgb="FFC6EFCE"/>
        </patternFill>
      </fill>
    </dxf>
    <dxf>
      <font>
        <b/>
        <sz val="10"/>
        <color rgb="FF9C5700"/>
        <name val="Verdana"/>
        <charset val="1"/>
      </font>
      <fill>
        <patternFill>
          <bgColor rgb="FFFFE699"/>
        </patternFill>
      </fill>
    </dxf>
    <dxf>
      <font>
        <b/>
        <sz val="10"/>
        <color rgb="FF9C0006"/>
        <name val="Verdana"/>
        <charset val="1"/>
      </font>
      <fill>
        <patternFill>
          <bgColor rgb="FFF8CBA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border outline="0">
        <bottom style="thin">
          <color rgb="FFBFBFBF"/>
        </bottom>
      </border>
    </dxf>
    <dxf>
      <border outline="0">
        <top style="thin">
          <color rgb="FFBFBFB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Segoe UI"/>
        <scheme val="none"/>
      </font>
      <fill>
        <patternFill patternType="solid">
          <fgColor rgb="FF9C0006"/>
          <bgColor rgb="FF7B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/>
        <sz val="10"/>
        <color rgb="FF006100"/>
        <name val="Verdana"/>
        <charset val="1"/>
      </font>
      <fill>
        <patternFill>
          <bgColor rgb="FFC6EFCE"/>
        </patternFill>
      </fill>
    </dxf>
    <dxf>
      <font>
        <b/>
        <sz val="10"/>
        <color rgb="FF9C5700"/>
        <name val="Verdana"/>
        <charset val="1"/>
      </font>
      <fill>
        <patternFill>
          <bgColor rgb="FFFFE699"/>
        </patternFill>
      </fill>
    </dxf>
    <dxf>
      <font>
        <b/>
        <sz val="10"/>
        <color rgb="FF9C0006"/>
        <name val="Verdana"/>
        <charset val="1"/>
      </font>
      <fill>
        <patternFill>
          <bgColor rgb="FFF8CBAD"/>
        </patternFill>
      </fill>
    </dxf>
    <dxf>
      <font>
        <b/>
        <sz val="10"/>
        <color rgb="FF006100"/>
        <name val="Verdana"/>
        <charset val="1"/>
      </font>
      <fill>
        <patternFill>
          <bgColor rgb="FFC6EFCE"/>
        </patternFill>
      </fill>
    </dxf>
    <dxf>
      <font>
        <b/>
        <sz val="10"/>
        <color rgb="FF9C5700"/>
        <name val="Verdana"/>
        <charset val="1"/>
      </font>
      <fill>
        <patternFill>
          <bgColor rgb="FFFFE699"/>
        </patternFill>
      </fill>
    </dxf>
    <dxf>
      <font>
        <b/>
        <sz val="10"/>
        <color rgb="FF9C0006"/>
        <name val="Verdana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B0000"/>
      <rgbColor rgb="FF0061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3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Saldo Atual × Ponto de Pedido × Estoque de Segurança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DASHBOARD!$D$11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DASHBOARD!$B$12:$B$21</c:f>
              <c:strCache>
                <c:ptCount val="10"/>
                <c:pt idx="0">
                  <c:v>001</c:v>
                </c:pt>
                <c:pt idx="1">
                  <c:v>002</c:v>
                </c:pt>
                <c:pt idx="2">
                  <c:v>003</c:v>
                </c:pt>
                <c:pt idx="3">
                  <c:v>004</c:v>
                </c:pt>
                <c:pt idx="4">
                  <c:v>005</c:v>
                </c:pt>
                <c:pt idx="5">
                  <c:v>006</c:v>
                </c:pt>
                <c:pt idx="6">
                  <c:v>007</c:v>
                </c:pt>
                <c:pt idx="7">
                  <c:v>008</c:v>
                </c:pt>
                <c:pt idx="8">
                  <c:v>009</c:v>
                </c:pt>
                <c:pt idx="9">
                  <c:v>010</c:v>
                </c:pt>
              </c:strCache>
            </c:strRef>
          </c:cat>
          <c:val>
            <c:numRef>
              <c:f>DASHBOARD!$D$12:$D$21</c:f>
              <c:numCache>
                <c:formatCode>#,##0</c:formatCode>
                <c:ptCount val="10"/>
                <c:pt idx="0">
                  <c:v>120</c:v>
                </c:pt>
                <c:pt idx="1">
                  <c:v>70</c:v>
                </c:pt>
                <c:pt idx="2">
                  <c:v>250</c:v>
                </c:pt>
                <c:pt idx="3">
                  <c:v>80</c:v>
                </c:pt>
                <c:pt idx="4">
                  <c:v>300</c:v>
                </c:pt>
                <c:pt idx="5">
                  <c:v>120</c:v>
                </c:pt>
                <c:pt idx="6">
                  <c:v>400</c:v>
                </c:pt>
                <c:pt idx="7">
                  <c:v>230</c:v>
                </c:pt>
                <c:pt idx="8">
                  <c:v>7000</c:v>
                </c:pt>
                <c:pt idx="9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C-40F8-BBE0-DD31C42A8FAB}"/>
            </c:ext>
          </c:extLst>
        </c:ser>
        <c:ser>
          <c:idx val="1"/>
          <c:order val="1"/>
          <c:tx>
            <c:strRef>
              <c:f>DASHBOARD!$E$11</c:f>
              <c:strCache>
                <c:ptCount val="1"/>
                <c:pt idx="0">
                  <c:v>ES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DASHBOARD!$B$12:$B$21</c:f>
              <c:strCache>
                <c:ptCount val="10"/>
                <c:pt idx="0">
                  <c:v>001</c:v>
                </c:pt>
                <c:pt idx="1">
                  <c:v>002</c:v>
                </c:pt>
                <c:pt idx="2">
                  <c:v>003</c:v>
                </c:pt>
                <c:pt idx="3">
                  <c:v>004</c:v>
                </c:pt>
                <c:pt idx="4">
                  <c:v>005</c:v>
                </c:pt>
                <c:pt idx="5">
                  <c:v>006</c:v>
                </c:pt>
                <c:pt idx="6">
                  <c:v>007</c:v>
                </c:pt>
                <c:pt idx="7">
                  <c:v>008</c:v>
                </c:pt>
                <c:pt idx="8">
                  <c:v>009</c:v>
                </c:pt>
                <c:pt idx="9">
                  <c:v>010</c:v>
                </c:pt>
              </c:strCache>
            </c:strRef>
          </c:cat>
          <c:val>
            <c:numRef>
              <c:f>DASHBOARD!$E$12:$E$21</c:f>
              <c:numCache>
                <c:formatCode>#,##0</c:formatCode>
                <c:ptCount val="10"/>
                <c:pt idx="0">
                  <c:v>40</c:v>
                </c:pt>
                <c:pt idx="1">
                  <c:v>10</c:v>
                </c:pt>
                <c:pt idx="2">
                  <c:v>100</c:v>
                </c:pt>
                <c:pt idx="3">
                  <c:v>30</c:v>
                </c:pt>
                <c:pt idx="4">
                  <c:v>150</c:v>
                </c:pt>
                <c:pt idx="5">
                  <c:v>50</c:v>
                </c:pt>
                <c:pt idx="6">
                  <c:v>150</c:v>
                </c:pt>
                <c:pt idx="7">
                  <c:v>50</c:v>
                </c:pt>
                <c:pt idx="8">
                  <c:v>2000</c:v>
                </c:pt>
                <c:pt idx="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C-40F8-BBE0-DD31C42A8FAB}"/>
            </c:ext>
          </c:extLst>
        </c:ser>
        <c:ser>
          <c:idx val="2"/>
          <c:order val="2"/>
          <c:tx>
            <c:strRef>
              <c:f>DASHBOARD!$F$11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rgbClr val="7B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DASHBOARD!$B$12:$B$21</c:f>
              <c:strCache>
                <c:ptCount val="10"/>
                <c:pt idx="0">
                  <c:v>001</c:v>
                </c:pt>
                <c:pt idx="1">
                  <c:v>002</c:v>
                </c:pt>
                <c:pt idx="2">
                  <c:v>003</c:v>
                </c:pt>
                <c:pt idx="3">
                  <c:v>004</c:v>
                </c:pt>
                <c:pt idx="4">
                  <c:v>005</c:v>
                </c:pt>
                <c:pt idx="5">
                  <c:v>006</c:v>
                </c:pt>
                <c:pt idx="6">
                  <c:v>007</c:v>
                </c:pt>
                <c:pt idx="7">
                  <c:v>008</c:v>
                </c:pt>
                <c:pt idx="8">
                  <c:v>009</c:v>
                </c:pt>
                <c:pt idx="9">
                  <c:v>010</c:v>
                </c:pt>
              </c:strCache>
            </c:strRef>
          </c:cat>
          <c:val>
            <c:numRef>
              <c:f>DASHBOARD!$F$12:$F$21</c:f>
              <c:numCache>
                <c:formatCode>#,##0</c:formatCode>
                <c:ptCount val="10"/>
                <c:pt idx="0">
                  <c:v>140</c:v>
                </c:pt>
                <c:pt idx="1">
                  <c:v>55</c:v>
                </c:pt>
                <c:pt idx="2">
                  <c:v>300</c:v>
                </c:pt>
                <c:pt idx="3">
                  <c:v>100</c:v>
                </c:pt>
                <c:pt idx="4">
                  <c:v>350</c:v>
                </c:pt>
                <c:pt idx="5">
                  <c:v>150</c:v>
                </c:pt>
                <c:pt idx="6">
                  <c:v>450</c:v>
                </c:pt>
                <c:pt idx="7">
                  <c:v>200</c:v>
                </c:pt>
                <c:pt idx="8">
                  <c:v>7000</c:v>
                </c:pt>
                <c:pt idx="9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C-40F8-BBE0-DD31C42A8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254745"/>
        <c:axId val="41285109"/>
      </c:barChart>
      <c:catAx>
        <c:axId val="2325474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285109"/>
        <c:crosses val="autoZero"/>
        <c:auto val="1"/>
        <c:lblAlgn val="ctr"/>
        <c:lblOffset val="100"/>
        <c:noMultiLvlLbl val="0"/>
      </c:catAx>
      <c:valAx>
        <c:axId val="4128510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2547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Pareto de Saídas (80/20)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'PARETO'!D3</f>
            </strRef>
          </tx>
          <spPr>
            <a:ln>
              <a:prstDash val="solid"/>
            </a:ln>
          </spPr>
          <cat>
            <strRef>
              <f>'PARETO'!$C$4:$C$13</f>
            </strRef>
          </cat>
          <val>
            <numRef>
              <f>'PARETO'!$D$4:$D$13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'PARETO'!$C$4:$C$13</f>
            </strRef>
          </cat>
          <val>
            <numRef>
              <f>'PARETO'!$E$4:$E$13</f>
            </numRef>
          </val>
        </ser>
        <axId val="10"/>
        <axId val="200"/>
      </lineChart>
      <catAx>
        <axId val="10"/>
        <scaling>
          <orientation val="minMax"/>
        </scaling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Saída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6</xdr:col>
      <xdr:colOff>300240</xdr:colOff>
      <xdr:row>18</xdr:row>
      <xdr:rowOff>190440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11320" y="971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13</xdr:col>
      <xdr:colOff>300240</xdr:colOff>
      <xdr:row>18</xdr:row>
      <xdr:rowOff>190440</xdr:rowOff>
    </xdr:to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638680" y="971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6</xdr:col>
      <xdr:colOff>300240</xdr:colOff>
      <xdr:row>39</xdr:row>
      <xdr:rowOff>190080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11320" y="497196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13</xdr:col>
      <xdr:colOff>300240</xdr:colOff>
      <xdr:row>39</xdr:row>
      <xdr:rowOff>190080</xdr:rowOff>
    </xdr:to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5638680" y="497196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6</xdr:col>
      <xdr:colOff>300240</xdr:colOff>
      <xdr:row>60</xdr:row>
      <xdr:rowOff>190440</xdr:rowOff>
    </xdr:to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211320" y="8972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13</xdr:col>
      <xdr:colOff>300240</xdr:colOff>
      <xdr:row>60</xdr:row>
      <xdr:rowOff>190440</xdr:rowOff>
    </xdr:to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638680" y="8972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6</xdr:col>
      <xdr:colOff>300240</xdr:colOff>
      <xdr:row>81</xdr:row>
      <xdr:rowOff>190080</xdr:rowOff>
    </xdr:to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211320" y="1297296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67</xdr:row>
      <xdr:rowOff>0</xdr:rowOff>
    </xdr:from>
    <xdr:to>
      <xdr:col>13</xdr:col>
      <xdr:colOff>300240</xdr:colOff>
      <xdr:row>81</xdr:row>
      <xdr:rowOff>190080</xdr:rowOff>
    </xdr:to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638680" y="1297296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6</xdr:col>
      <xdr:colOff>300240</xdr:colOff>
      <xdr:row>102</xdr:row>
      <xdr:rowOff>190440</xdr:rowOff>
    </xdr:to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211320" y="16973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88</xdr:row>
      <xdr:rowOff>0</xdr:rowOff>
    </xdr:from>
    <xdr:to>
      <xdr:col>13</xdr:col>
      <xdr:colOff>300240</xdr:colOff>
      <xdr:row>102</xdr:row>
      <xdr:rowOff>190440</xdr:rowOff>
    </xdr:to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638680" y="16973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22</xdr:row>
      <xdr:rowOff>0</xdr:rowOff>
    </xdr:from>
    <xdr:to>
      <xdr:col>8</xdr:col>
      <xdr:colOff>1153080</xdr:colOff>
      <xdr:row>46</xdr:row>
      <xdr:rowOff>10560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46B07E-C33B-426C-B147-A7FA08D27D6C}" name="Tabela1" displayName="Tabela1" ref="B4:K268" totalsRowShown="0" headerRowDxfId="16" dataDxfId="15" headerRowBorderDxfId="13" tableBorderDxfId="14">
  <autoFilter ref="B4:K268" xr:uid="{F546B07E-C33B-426C-B147-A7FA08D27D6C}"/>
  <tableColumns count="10">
    <tableColumn id="1" xr3:uid="{A8531497-C488-4E23-A60C-5241EA8B8E03}" name="DATA/HORA" dataDxfId="12"/>
    <tableColumn id="2" xr3:uid="{3E0A709C-2452-4A1C-A7F0-AD7792B37E0B}" name="OPERADOR" dataDxfId="11"/>
    <tableColumn id="3" xr3:uid="{05AAB710-170F-46E3-8C3C-1FF88BACDACA}" name="CÓDIGO" dataDxfId="10"/>
    <tableColumn id="4" xr3:uid="{00F9C415-F1D8-42FD-8299-06B3556CEF1D}" name="DESCRIÇÃO DO ITEM" dataDxfId="9"/>
    <tableColumn id="5" xr3:uid="{3A57FF51-4CD1-481F-9339-22CFED72DEE9}" name="ENTRADA" dataDxfId="8"/>
    <tableColumn id="6" xr3:uid="{C1331AED-FFD6-4D63-A213-7AC869E776CF}" name="SAÍDA" dataDxfId="7"/>
    <tableColumn id="7" xr3:uid="{550FC449-BDF9-4D09-8B9F-370DF77F4AE8}" name="QTD/SALDO" dataDxfId="6"/>
    <tableColumn id="8" xr3:uid="{EF75359E-8187-4DC1-9F42-2556FC48F195}" name="ESTOQUE DE SEGURANÇA (ES)" dataDxfId="5"/>
    <tableColumn id="9" xr3:uid="{A647BAEA-027E-4AA2-AFBE-5F7675F6FC5D}" name="PONTO DE PEDIDO (PP)" dataDxfId="4"/>
    <tableColumn id="10" xr3:uid="{3985807D-6025-464E-AC57-DAB14057B3F3}" name="STATUS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6"/>
  <sheetViews>
    <sheetView showGridLines="0" zoomScale="55" zoomScaleNormal="55" workbookViewId="0">
      <pane xSplit="1" ySplit="6" topLeftCell="B7" activePane="bottomRight" state="frozen"/>
      <selection pane="bottomRight" activeCell="C13" sqref="C13"/>
      <selection pane="bottomLeft" activeCell="A7" sqref="A7"/>
      <selection pane="topRight" activeCell="B1" sqref="B1"/>
    </sheetView>
  </sheetViews>
  <sheetFormatPr defaultColWidth="8.7109375" defaultRowHeight="16.5"/>
  <cols>
    <col min="1" max="1" width="3" style="2" customWidth="1"/>
    <col min="2" max="2" width="8" style="2" customWidth="1"/>
    <col min="3" max="3" width="32" style="2" customWidth="1"/>
    <col min="4" max="4" width="22" style="2" customWidth="1"/>
    <col min="5" max="5" width="18" style="2" customWidth="1"/>
    <col min="6" max="6" width="22" style="2" customWidth="1"/>
    <col min="7" max="8" width="12" style="2" customWidth="1"/>
    <col min="9" max="9" width="70" style="2" customWidth="1"/>
    <col min="10" max="16384" width="8.7109375" style="2"/>
  </cols>
  <sheetData>
    <row r="2" spans="2:9" ht="31.5" customHeight="1">
      <c r="B2" s="1" t="s">
        <v>0</v>
      </c>
    </row>
    <row r="3" spans="2:9">
      <c r="B3" s="43" t="s">
        <v>1</v>
      </c>
      <c r="C3" s="43"/>
      <c r="D3" s="43"/>
      <c r="E3" s="43"/>
      <c r="F3" s="43"/>
      <c r="G3" s="43"/>
      <c r="H3" s="43"/>
      <c r="I3" s="43"/>
    </row>
    <row r="4" spans="2:9" ht="21.75" customHeight="1">
      <c r="B4" s="44" t="s">
        <v>2</v>
      </c>
      <c r="C4" s="44"/>
      <c r="D4" s="44"/>
      <c r="E4" s="44"/>
      <c r="F4" s="44"/>
      <c r="G4" s="44"/>
      <c r="H4" s="44"/>
      <c r="I4" s="44"/>
    </row>
    <row r="6" spans="2:9" ht="37.5" customHeight="1">
      <c r="B6" s="17" t="s">
        <v>3</v>
      </c>
      <c r="C6" s="17" t="s">
        <v>4</v>
      </c>
      <c r="D6" s="17" t="s">
        <v>5</v>
      </c>
      <c r="E6" s="17" t="s">
        <v>6</v>
      </c>
      <c r="F6" s="17" t="s">
        <v>7</v>
      </c>
      <c r="G6" s="17" t="s">
        <v>8</v>
      </c>
      <c r="H6" s="17" t="s">
        <v>9</v>
      </c>
      <c r="I6" s="17" t="s">
        <v>10</v>
      </c>
    </row>
    <row r="7" spans="2:9" ht="49.5" customHeight="1">
      <c r="B7" s="23" t="s">
        <v>11</v>
      </c>
      <c r="C7" s="5" t="s">
        <v>12</v>
      </c>
      <c r="D7" s="24" t="s">
        <v>13</v>
      </c>
      <c r="E7" s="24" t="s">
        <v>14</v>
      </c>
      <c r="F7" s="24" t="s">
        <v>15</v>
      </c>
      <c r="G7" s="25">
        <v>40</v>
      </c>
      <c r="H7" s="25">
        <f>(20*5)+40</f>
        <v>140</v>
      </c>
      <c r="I7" s="5" t="s">
        <v>16</v>
      </c>
    </row>
    <row r="8" spans="2:9" ht="49.5" customHeight="1">
      <c r="B8" s="26" t="s">
        <v>17</v>
      </c>
      <c r="C8" s="11" t="s">
        <v>18</v>
      </c>
      <c r="D8" s="27" t="s">
        <v>19</v>
      </c>
      <c r="E8" s="27" t="s">
        <v>20</v>
      </c>
      <c r="F8" s="27" t="s">
        <v>21</v>
      </c>
      <c r="G8" s="28">
        <v>10</v>
      </c>
      <c r="H8" s="28">
        <f>(15*3)+10</f>
        <v>55</v>
      </c>
      <c r="I8" s="11" t="s">
        <v>22</v>
      </c>
    </row>
    <row r="9" spans="2:9" ht="49.5" customHeight="1">
      <c r="B9" s="23" t="s">
        <v>23</v>
      </c>
      <c r="C9" s="5" t="s">
        <v>24</v>
      </c>
      <c r="D9" s="24" t="s">
        <v>25</v>
      </c>
      <c r="E9" s="24" t="s">
        <v>26</v>
      </c>
      <c r="F9" s="24" t="s">
        <v>27</v>
      </c>
      <c r="G9" s="25">
        <f>50*2</f>
        <v>100</v>
      </c>
      <c r="H9" s="25">
        <f>(50*4)+(50*2)</f>
        <v>300</v>
      </c>
      <c r="I9" s="5" t="s">
        <v>28</v>
      </c>
    </row>
    <row r="10" spans="2:9" ht="49.5" customHeight="1">
      <c r="B10" s="26" t="s">
        <v>29</v>
      </c>
      <c r="C10" s="11" t="s">
        <v>30</v>
      </c>
      <c r="D10" s="27" t="s">
        <v>31</v>
      </c>
      <c r="E10" s="27" t="s">
        <v>32</v>
      </c>
      <c r="F10" s="27" t="s">
        <v>33</v>
      </c>
      <c r="G10" s="28">
        <f>10*3</f>
        <v>30</v>
      </c>
      <c r="H10" s="28">
        <f>(10*7)+(10*3)</f>
        <v>100</v>
      </c>
      <c r="I10" s="11" t="s">
        <v>34</v>
      </c>
    </row>
    <row r="11" spans="2:9" ht="49.5" customHeight="1">
      <c r="B11" s="23" t="s">
        <v>35</v>
      </c>
      <c r="C11" s="5" t="s">
        <v>36</v>
      </c>
      <c r="D11" s="24" t="s">
        <v>37</v>
      </c>
      <c r="E11" s="24" t="s">
        <v>38</v>
      </c>
      <c r="F11" s="24" t="s">
        <v>39</v>
      </c>
      <c r="G11" s="25">
        <f>100*1.5</f>
        <v>150</v>
      </c>
      <c r="H11" s="25">
        <f>(100*2)+(100*1.5)</f>
        <v>350</v>
      </c>
      <c r="I11" s="5" t="s">
        <v>40</v>
      </c>
    </row>
    <row r="12" spans="2:9" ht="49.5" customHeight="1">
      <c r="B12" s="26" t="s">
        <v>41</v>
      </c>
      <c r="C12" s="11" t="s">
        <v>42</v>
      </c>
      <c r="D12" s="27" t="s">
        <v>43</v>
      </c>
      <c r="E12" s="27" t="s">
        <v>44</v>
      </c>
      <c r="F12" s="27" t="s">
        <v>45</v>
      </c>
      <c r="G12" s="28">
        <f>200*0.25</f>
        <v>50</v>
      </c>
      <c r="H12" s="28">
        <f>((200/30)*15)+(200*0.25)</f>
        <v>150</v>
      </c>
      <c r="I12" s="11" t="s">
        <v>46</v>
      </c>
    </row>
    <row r="13" spans="2:9" ht="49.5" customHeight="1">
      <c r="B13" s="23" t="s">
        <v>47</v>
      </c>
      <c r="C13" s="5" t="s">
        <v>48</v>
      </c>
      <c r="D13" s="24" t="s">
        <v>49</v>
      </c>
      <c r="E13" s="24" t="s">
        <v>50</v>
      </c>
      <c r="F13" s="24" t="s">
        <v>51</v>
      </c>
      <c r="G13" s="25">
        <f>30*5</f>
        <v>150</v>
      </c>
      <c r="H13" s="25">
        <f>(30*10)+(30*5)</f>
        <v>450</v>
      </c>
      <c r="I13" s="5" t="s">
        <v>52</v>
      </c>
    </row>
    <row r="14" spans="2:9" ht="49.5" customHeight="1">
      <c r="B14" s="26" t="s">
        <v>53</v>
      </c>
      <c r="C14" s="11" t="s">
        <v>54</v>
      </c>
      <c r="D14" s="27" t="s">
        <v>55</v>
      </c>
      <c r="E14" s="27" t="s">
        <v>56</v>
      </c>
      <c r="F14" s="27" t="s">
        <v>57</v>
      </c>
      <c r="G14" s="28">
        <f>5*10</f>
        <v>50</v>
      </c>
      <c r="H14" s="28">
        <f>(5*30)+(5*10)</f>
        <v>200</v>
      </c>
      <c r="I14" s="11" t="s">
        <v>58</v>
      </c>
    </row>
    <row r="15" spans="2:9" ht="49.5" customHeight="1">
      <c r="B15" s="23" t="s">
        <v>59</v>
      </c>
      <c r="C15" s="5" t="s">
        <v>60</v>
      </c>
      <c r="D15" s="24" t="s">
        <v>61</v>
      </c>
      <c r="E15" s="24" t="s">
        <v>50</v>
      </c>
      <c r="F15" s="24" t="s">
        <v>62</v>
      </c>
      <c r="G15" s="25">
        <f>500*4</f>
        <v>2000</v>
      </c>
      <c r="H15" s="25">
        <f>(500*10)+(500*4)</f>
        <v>7000</v>
      </c>
      <c r="I15" s="5" t="s">
        <v>63</v>
      </c>
    </row>
    <row r="16" spans="2:9" ht="49.5" customHeight="1">
      <c r="B16" s="26" t="s">
        <v>64</v>
      </c>
      <c r="C16" s="11" t="s">
        <v>65</v>
      </c>
      <c r="D16" s="27" t="s">
        <v>66</v>
      </c>
      <c r="E16" s="27" t="s">
        <v>50</v>
      </c>
      <c r="F16" s="27" t="s">
        <v>51</v>
      </c>
      <c r="G16" s="28">
        <f>40*5</f>
        <v>200</v>
      </c>
      <c r="H16" s="28">
        <f>(40*10)+(40*5)</f>
        <v>600</v>
      </c>
      <c r="I16" s="11" t="s">
        <v>67</v>
      </c>
    </row>
  </sheetData>
  <sheetProtection autoFilter="0" pivotTables="0"/>
  <mergeCells count="2">
    <mergeCell ref="B3:I3"/>
    <mergeCell ref="B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14"/>
  <sheetViews>
    <sheetView showGridLines="0" tabSelected="1" zoomScaleNormal="100" workbookViewId="0">
      <pane xSplit="1" ySplit="4" topLeftCell="B258" activePane="bottomRight" state="frozen"/>
      <selection pane="bottomRight" activeCell="B4" sqref="B4:K268"/>
      <selection pane="bottomLeft" activeCell="A8" sqref="A8"/>
      <selection pane="topRight" activeCell="B1" sqref="B1"/>
    </sheetView>
  </sheetViews>
  <sheetFormatPr defaultColWidth="8.7109375" defaultRowHeight="16.5"/>
  <cols>
    <col min="1" max="1" width="3" style="2" customWidth="1"/>
    <col min="2" max="2" width="16.7109375" style="2" customWidth="1"/>
    <col min="3" max="3" width="16.5703125" style="2" customWidth="1"/>
    <col min="4" max="4" width="12" style="2" customWidth="1"/>
    <col min="5" max="5" width="28" style="2" customWidth="1"/>
    <col min="6" max="6" width="13.85546875" style="2" customWidth="1"/>
    <col min="7" max="7" width="12" style="2" customWidth="1"/>
    <col min="8" max="8" width="16.140625" style="2" customWidth="1"/>
    <col min="9" max="9" width="26.28515625" style="2" customWidth="1"/>
    <col min="10" max="10" width="24.28515625" style="2" customWidth="1"/>
    <col min="11" max="11" width="22" style="2" customWidth="1"/>
    <col min="12" max="16384" width="8.7109375" style="2"/>
  </cols>
  <sheetData>
    <row r="1" spans="2:11" ht="31.5" customHeight="1">
      <c r="D1" s="1" t="s">
        <v>68</v>
      </c>
    </row>
    <row r="2" spans="2:11" ht="12" customHeight="1">
      <c r="D2" s="43" t="s">
        <v>69</v>
      </c>
      <c r="E2" s="43"/>
      <c r="F2" s="43"/>
      <c r="G2" s="43"/>
      <c r="H2" s="43"/>
      <c r="I2" s="43"/>
      <c r="J2" s="43"/>
      <c r="K2" s="43"/>
    </row>
    <row r="3" spans="2:11" ht="51.75" customHeight="1">
      <c r="D3" s="16" t="s">
        <v>70</v>
      </c>
      <c r="E3" s="30" t="s">
        <v>71</v>
      </c>
      <c r="F3" s="30"/>
      <c r="G3" s="31" t="s">
        <v>72</v>
      </c>
      <c r="H3" s="31"/>
    </row>
    <row r="4" spans="2:11" ht="37.5" customHeight="1">
      <c r="B4" s="29" t="s">
        <v>73</v>
      </c>
      <c r="C4" s="29" t="s">
        <v>74</v>
      </c>
      <c r="D4" s="29" t="s">
        <v>75</v>
      </c>
      <c r="E4" s="29" t="s">
        <v>76</v>
      </c>
      <c r="F4" s="29" t="s">
        <v>77</v>
      </c>
      <c r="G4" s="29" t="s">
        <v>78</v>
      </c>
      <c r="H4" s="29" t="s">
        <v>79</v>
      </c>
      <c r="I4" s="29" t="s">
        <v>80</v>
      </c>
      <c r="J4" s="29" t="s">
        <v>81</v>
      </c>
      <c r="K4" s="29" t="s">
        <v>82</v>
      </c>
    </row>
    <row r="5" spans="2:11" ht="24" customHeight="1">
      <c r="D5" s="18" t="s">
        <v>11</v>
      </c>
      <c r="E5" s="19" t="s">
        <v>83</v>
      </c>
      <c r="F5" s="20">
        <v>500</v>
      </c>
      <c r="G5" s="20">
        <v>380</v>
      </c>
      <c r="H5" s="21">
        <f t="shared" ref="H5:H14" si="0">F5-G5</f>
        <v>120</v>
      </c>
      <c r="I5" s="20">
        <v>40</v>
      </c>
      <c r="J5" s="20">
        <v>140</v>
      </c>
      <c r="K5" s="22" t="str">
        <f t="shared" ref="K5:K14" si="1">IF(H5&lt;=I5,"🔴 CRÍTICO",IF(H5&lt;=J5,"🟡 PEDIR AGORA","🟢 OK"))</f>
        <v>🟡 PEDIR AGORA</v>
      </c>
    </row>
    <row r="6" spans="2:11" ht="24" customHeight="1">
      <c r="D6" s="18" t="s">
        <v>17</v>
      </c>
      <c r="E6" s="19" t="s">
        <v>84</v>
      </c>
      <c r="F6" s="20">
        <v>200</v>
      </c>
      <c r="G6" s="20">
        <v>130</v>
      </c>
      <c r="H6" s="21">
        <f t="shared" si="0"/>
        <v>70</v>
      </c>
      <c r="I6" s="20">
        <v>10</v>
      </c>
      <c r="J6" s="20">
        <v>55</v>
      </c>
      <c r="K6" s="22" t="str">
        <f t="shared" si="1"/>
        <v>🟢 OK</v>
      </c>
    </row>
    <row r="7" spans="2:11" ht="24" customHeight="1">
      <c r="D7" s="18" t="s">
        <v>23</v>
      </c>
      <c r="E7" s="19" t="s">
        <v>85</v>
      </c>
      <c r="F7" s="20">
        <v>600</v>
      </c>
      <c r="G7" s="20">
        <v>350</v>
      </c>
      <c r="H7" s="21">
        <f t="shared" si="0"/>
        <v>250</v>
      </c>
      <c r="I7" s="20">
        <v>100</v>
      </c>
      <c r="J7" s="20">
        <v>300</v>
      </c>
      <c r="K7" s="22" t="str">
        <f t="shared" si="1"/>
        <v>🟡 PEDIR AGORA</v>
      </c>
    </row>
    <row r="8" spans="2:11" ht="24" customHeight="1">
      <c r="D8" s="18" t="s">
        <v>29</v>
      </c>
      <c r="E8" s="19" t="s">
        <v>86</v>
      </c>
      <c r="F8" s="20">
        <v>300</v>
      </c>
      <c r="G8" s="20">
        <v>220</v>
      </c>
      <c r="H8" s="21">
        <f t="shared" si="0"/>
        <v>80</v>
      </c>
      <c r="I8" s="20">
        <v>30</v>
      </c>
      <c r="J8" s="20">
        <v>100</v>
      </c>
      <c r="K8" s="22" t="str">
        <f t="shared" si="1"/>
        <v>🟡 PEDIR AGORA</v>
      </c>
    </row>
    <row r="9" spans="2:11" ht="24" customHeight="1">
      <c r="D9" s="18" t="s">
        <v>35</v>
      </c>
      <c r="E9" s="19" t="s">
        <v>87</v>
      </c>
      <c r="F9" s="20">
        <v>800</v>
      </c>
      <c r="G9" s="20">
        <v>500</v>
      </c>
      <c r="H9" s="21">
        <f t="shared" si="0"/>
        <v>300</v>
      </c>
      <c r="I9" s="20">
        <v>150</v>
      </c>
      <c r="J9" s="20">
        <v>350</v>
      </c>
      <c r="K9" s="22" t="str">
        <f t="shared" si="1"/>
        <v>🟡 PEDIR AGORA</v>
      </c>
    </row>
    <row r="10" spans="2:11" ht="24" customHeight="1">
      <c r="D10" s="18" t="s">
        <v>41</v>
      </c>
      <c r="E10" s="19" t="s">
        <v>88</v>
      </c>
      <c r="F10" s="20">
        <v>400</v>
      </c>
      <c r="G10" s="20">
        <v>280</v>
      </c>
      <c r="H10" s="21">
        <f t="shared" si="0"/>
        <v>120</v>
      </c>
      <c r="I10" s="20">
        <v>50</v>
      </c>
      <c r="J10" s="20">
        <v>150</v>
      </c>
      <c r="K10" s="22" t="str">
        <f t="shared" si="1"/>
        <v>🟡 PEDIR AGORA</v>
      </c>
    </row>
    <row r="11" spans="2:11" ht="24" customHeight="1">
      <c r="D11" s="18" t="s">
        <v>47</v>
      </c>
      <c r="E11" s="19" t="s">
        <v>89</v>
      </c>
      <c r="F11" s="20">
        <v>1000</v>
      </c>
      <c r="G11" s="20">
        <v>600</v>
      </c>
      <c r="H11" s="21">
        <f t="shared" si="0"/>
        <v>400</v>
      </c>
      <c r="I11" s="20">
        <v>150</v>
      </c>
      <c r="J11" s="20">
        <v>450</v>
      </c>
      <c r="K11" s="22" t="str">
        <f t="shared" si="1"/>
        <v>🟡 PEDIR AGORA</v>
      </c>
    </row>
    <row r="12" spans="2:11" ht="24" customHeight="1">
      <c r="D12" s="18" t="s">
        <v>53</v>
      </c>
      <c r="E12" s="19" t="s">
        <v>90</v>
      </c>
      <c r="F12" s="20">
        <v>400</v>
      </c>
      <c r="G12" s="20">
        <v>170</v>
      </c>
      <c r="H12" s="21">
        <f t="shared" si="0"/>
        <v>230</v>
      </c>
      <c r="I12" s="20">
        <v>50</v>
      </c>
      <c r="J12" s="20">
        <v>200</v>
      </c>
      <c r="K12" s="22" t="str">
        <f t="shared" si="1"/>
        <v>🟢 OK</v>
      </c>
    </row>
    <row r="13" spans="2:11" ht="24" customHeight="1">
      <c r="D13" s="18" t="s">
        <v>59</v>
      </c>
      <c r="E13" s="19" t="s">
        <v>91</v>
      </c>
      <c r="F13" s="20">
        <v>20000</v>
      </c>
      <c r="G13" s="20">
        <v>13000</v>
      </c>
      <c r="H13" s="21">
        <f t="shared" si="0"/>
        <v>7000</v>
      </c>
      <c r="I13" s="20">
        <v>2000</v>
      </c>
      <c r="J13" s="20">
        <v>7000</v>
      </c>
      <c r="K13" s="22" t="str">
        <f t="shared" si="1"/>
        <v>🟡 PEDIR AGORA</v>
      </c>
    </row>
    <row r="14" spans="2:11" ht="24" customHeight="1">
      <c r="D14" s="18" t="s">
        <v>64</v>
      </c>
      <c r="E14" s="19" t="s">
        <v>92</v>
      </c>
      <c r="F14" s="20">
        <v>1500</v>
      </c>
      <c r="G14" s="20">
        <v>900</v>
      </c>
      <c r="H14" s="21">
        <f t="shared" si="0"/>
        <v>600</v>
      </c>
      <c r="I14" s="20">
        <v>200</v>
      </c>
      <c r="J14" s="20">
        <v>600</v>
      </c>
      <c r="K14" s="22" t="str">
        <f t="shared" si="1"/>
        <v>🟡 PEDIR AGORA</v>
      </c>
    </row>
  </sheetData>
  <sheetProtection autoFilter="0" pivotTables="0"/>
  <mergeCells count="3">
    <mergeCell ref="D2:K2"/>
    <mergeCell ref="E3:F3"/>
    <mergeCell ref="G3:H3"/>
  </mergeCells>
  <conditionalFormatting sqref="F5:F14">
    <cfRule type="dataBar" priority="8">
      <dataBar>
        <cfvo type="min"/>
        <cfvo type="max"/>
        <color rgb="FFA9D08E"/>
      </dataBar>
      <extLst>
        <ext xmlns:x14="http://schemas.microsoft.com/office/spreadsheetml/2009/9/main" uri="{B025F937-C7B1-47D3-B67F-A62EFF666E3E}">
          <x14:id>{C7C83976-35FA-4FD7-9EA6-5F1960EF5686}</x14:id>
        </ext>
      </extLst>
    </cfRule>
  </conditionalFormatting>
  <conditionalFormatting sqref="G5:G14">
    <cfRule type="dataBar" priority="9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{3C50E3C4-5988-4DE2-963E-F253A0537344}</x14:id>
        </ext>
      </extLst>
    </cfRule>
  </conditionalFormatting>
  <conditionalFormatting sqref="H5:H14">
    <cfRule type="expression" dxfId="22" priority="2">
      <formula>$H5&lt;=$I5</formula>
    </cfRule>
    <cfRule type="expression" dxfId="21" priority="3">
      <formula>$H5&lt;=$J5</formula>
    </cfRule>
    <cfRule type="expression" dxfId="20" priority="4">
      <formula>$H5&gt;$J5</formula>
    </cfRule>
  </conditionalFormatting>
  <conditionalFormatting sqref="K5:K14">
    <cfRule type="expression" dxfId="19" priority="5">
      <formula>$H5&lt;=$I5</formula>
    </cfRule>
    <cfRule type="expression" dxfId="18" priority="6">
      <formula>$H5&lt;=$J5</formula>
    </cfRule>
    <cfRule type="expression" dxfId="17" priority="7">
      <formula>$H5&gt;$J5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C83976-35FA-4FD7-9EA6-5F1960EF5686}">
            <x14:dataBar axisPosition="none">
              <x14:cfvo type="min"/>
              <x14:cfvo type="max"/>
              <x14:negativeFillColor rgb="FFA9D08E"/>
            </x14:dataBar>
          </x14:cfRule>
          <xm:sqref>F5:F14</xm:sqref>
        </x14:conditionalFormatting>
        <x14:conditionalFormatting xmlns:xm="http://schemas.microsoft.com/office/excel/2006/main">
          <x14:cfRule type="dataBar" id="{3C50E3C4-5988-4DE2-963E-F253A0537344}">
            <x14:dataBar axisPosition="none">
              <x14:cfvo type="min"/>
              <x14:cfvo type="max"/>
              <x14:negativeFillColor rgb="FFED7D31"/>
            </x14:dataBar>
          </x14:cfRule>
          <xm:sqref>G5:G14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21C32-8577-47CB-8567-2E114E58C704}">
  <dimension ref="A1:B1"/>
  <sheetViews>
    <sheetView workbookViewId="0">
      <selection activeCell="B1" sqref="B1"/>
    </sheetView>
  </sheetViews>
  <sheetFormatPr defaultRowHeight="15"/>
  <sheetData>
    <row r="1" spans="1:2">
      <c r="A1" t="s">
        <v>93</v>
      </c>
      <c r="B1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M3"/>
  <sheetViews>
    <sheetView showGridLines="0" topLeftCell="A62" zoomScaleNormal="100" workbookViewId="0">
      <selection activeCell="A2" sqref="A2:M2"/>
    </sheetView>
  </sheetViews>
  <sheetFormatPr defaultColWidth="8.7109375" defaultRowHeight="15"/>
  <cols>
    <col min="1" max="14" width="11" customWidth="1"/>
  </cols>
  <sheetData>
    <row r="2" spans="1:13" ht="31.5" customHeight="1">
      <c r="A2" s="32" t="s">
        <v>95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3">
      <c r="A3" s="45" t="s">
        <v>96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</row>
  </sheetData>
  <sheetProtection autoFilter="0" pivotTables="0"/>
  <mergeCells count="2">
    <mergeCell ref="A3:M3"/>
    <mergeCell ref="A2:M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21"/>
  <sheetViews>
    <sheetView showGridLines="0" topLeftCell="A11" zoomScaleNormal="100" workbookViewId="0">
      <selection activeCell="F18" sqref="F18"/>
    </sheetView>
  </sheetViews>
  <sheetFormatPr defaultColWidth="8.7109375" defaultRowHeight="16.5"/>
  <cols>
    <col min="1" max="1" width="3" style="2" customWidth="1"/>
    <col min="2" max="2" width="10" style="2" customWidth="1"/>
    <col min="3" max="3" width="26" style="2" customWidth="1"/>
    <col min="4" max="8" width="12" style="2" customWidth="1"/>
    <col min="9" max="9" width="22" style="2" customWidth="1"/>
    <col min="10" max="16384" width="8.7109375" style="2"/>
  </cols>
  <sheetData>
    <row r="2" spans="2:9" ht="31.5" customHeight="1">
      <c r="B2" s="33" t="s">
        <v>97</v>
      </c>
      <c r="C2" s="33"/>
      <c r="D2" s="33"/>
      <c r="E2" s="33"/>
      <c r="F2" s="33"/>
      <c r="G2" s="33"/>
      <c r="H2" s="33"/>
      <c r="I2" s="33"/>
    </row>
    <row r="3" spans="2:9">
      <c r="B3" s="34" t="s">
        <v>98</v>
      </c>
      <c r="C3" s="34"/>
      <c r="D3" s="34"/>
      <c r="E3" s="34"/>
      <c r="F3" s="34"/>
      <c r="G3" s="34"/>
      <c r="H3" s="34"/>
      <c r="I3" s="34"/>
    </row>
    <row r="5" spans="2:9" ht="21.75" customHeight="1">
      <c r="B5" s="35" t="s">
        <v>99</v>
      </c>
      <c r="C5" s="35"/>
      <c r="D5" s="36" t="s">
        <v>100</v>
      </c>
      <c r="E5" s="36"/>
      <c r="F5" s="30" t="s">
        <v>101</v>
      </c>
      <c r="G5" s="30"/>
      <c r="H5" s="37" t="s">
        <v>102</v>
      </c>
      <c r="I5" s="37"/>
    </row>
    <row r="6" spans="2:9" ht="30" customHeight="1">
      <c r="B6" s="38">
        <f>COUNTA('CONTROLE DE ESTOQUE'!D5:D14)</f>
        <v>10</v>
      </c>
      <c r="C6" s="38"/>
      <c r="D6" s="39">
        <f>COUNTIF('CONTROLE DE ESTOQUE'!K5:K14,"*OK*")</f>
        <v>2</v>
      </c>
      <c r="E6" s="39"/>
      <c r="F6" s="40">
        <f>COUNTIF('CONTROLE DE ESTOQUE'!K5:K14,"*PEDIR*")</f>
        <v>8</v>
      </c>
      <c r="G6" s="40"/>
      <c r="H6" s="41">
        <f>COUNTIF('CONTROLE DE ESTOQUE'!K5:K14,"*CRÍTICO*")</f>
        <v>0</v>
      </c>
      <c r="I6" s="41"/>
    </row>
    <row r="7" spans="2:9" ht="30" customHeight="1">
      <c r="B7" s="38"/>
      <c r="C7" s="38"/>
      <c r="D7" s="39"/>
      <c r="E7" s="39"/>
      <c r="F7" s="40"/>
      <c r="G7" s="40"/>
      <c r="H7" s="41"/>
      <c r="I7" s="41"/>
    </row>
    <row r="10" spans="2:9" ht="25.5" customHeight="1">
      <c r="B10" s="42" t="s">
        <v>103</v>
      </c>
      <c r="C10" s="42"/>
      <c r="D10" s="42"/>
      <c r="E10" s="42"/>
      <c r="F10" s="42"/>
      <c r="G10" s="42"/>
      <c r="H10" s="42"/>
      <c r="I10" s="42"/>
    </row>
    <row r="11" spans="2:9" ht="31.5" customHeight="1">
      <c r="B11" s="3" t="s">
        <v>75</v>
      </c>
      <c r="C11" s="3" t="s">
        <v>3</v>
      </c>
      <c r="D11" s="3" t="s">
        <v>104</v>
      </c>
      <c r="E11" s="3" t="s">
        <v>8</v>
      </c>
      <c r="F11" s="3" t="s">
        <v>9</v>
      </c>
      <c r="G11" s="3" t="s">
        <v>105</v>
      </c>
      <c r="H11" s="3" t="s">
        <v>106</v>
      </c>
      <c r="I11" s="3" t="s">
        <v>82</v>
      </c>
    </row>
    <row r="12" spans="2:9" ht="21.75" customHeight="1">
      <c r="B12" s="4" t="str">
        <f>'CONTROLE DE ESTOQUE'!D5</f>
        <v>001</v>
      </c>
      <c r="C12" s="5" t="str">
        <f>'CONTROLE DE ESTOQUE'!E5</f>
        <v>Filtro de óleo (un)</v>
      </c>
      <c r="D12" s="6">
        <f>'CONTROLE DE ESTOQUE'!H5</f>
        <v>120</v>
      </c>
      <c r="E12" s="6">
        <f>'CONTROLE DE ESTOQUE'!I5</f>
        <v>40</v>
      </c>
      <c r="F12" s="6">
        <f>'CONTROLE DE ESTOQUE'!J5</f>
        <v>140</v>
      </c>
      <c r="G12" s="7">
        <f t="shared" ref="G12:G21" si="0">IFERROR(D12/F12,0)</f>
        <v>0.8571428571428571</v>
      </c>
      <c r="H12" s="8">
        <f t="shared" ref="H12:H21" si="1">IFERROR(D12/E12,0)</f>
        <v>3</v>
      </c>
      <c r="I12" s="9" t="str">
        <f>'CONTROLE DE ESTOQUE'!K5</f>
        <v>🟡 PEDIR AGORA</v>
      </c>
    </row>
    <row r="13" spans="2:9" ht="21.75" customHeight="1">
      <c r="B13" s="10" t="str">
        <f>'CONTROLE DE ESTOQUE'!D6</f>
        <v>002</v>
      </c>
      <c r="C13" s="11" t="str">
        <f>'CONTROLE DE ESTOQUE'!E6</f>
        <v>Arroz (kg)</v>
      </c>
      <c r="D13" s="12">
        <f>'CONTROLE DE ESTOQUE'!H6</f>
        <v>70</v>
      </c>
      <c r="E13" s="12">
        <f>'CONTROLE DE ESTOQUE'!I6</f>
        <v>10</v>
      </c>
      <c r="F13" s="12">
        <f>'CONTROLE DE ESTOQUE'!J6</f>
        <v>55</v>
      </c>
      <c r="G13" s="13">
        <f t="shared" si="0"/>
        <v>1.2727272727272727</v>
      </c>
      <c r="H13" s="14">
        <f t="shared" si="1"/>
        <v>7</v>
      </c>
      <c r="I13" s="15" t="str">
        <f>'CONTROLE DE ESTOQUE'!K6</f>
        <v>🟢 OK</v>
      </c>
    </row>
    <row r="14" spans="2:9" ht="21.75" customHeight="1">
      <c r="B14" s="4" t="str">
        <f>'CONTROLE DE ESTOQUE'!D7</f>
        <v>003</v>
      </c>
      <c r="C14" s="5" t="str">
        <f>'CONTROLE DE ESTOQUE'!E7</f>
        <v>Chapas de MDF</v>
      </c>
      <c r="D14" s="6">
        <f>'CONTROLE DE ESTOQUE'!H7</f>
        <v>250</v>
      </c>
      <c r="E14" s="6">
        <f>'CONTROLE DE ESTOQUE'!I7</f>
        <v>100</v>
      </c>
      <c r="F14" s="6">
        <f>'CONTROLE DE ESTOQUE'!J7</f>
        <v>300</v>
      </c>
      <c r="G14" s="7">
        <f t="shared" si="0"/>
        <v>0.83333333333333337</v>
      </c>
      <c r="H14" s="8">
        <f t="shared" si="1"/>
        <v>2.5</v>
      </c>
      <c r="I14" s="9" t="str">
        <f>'CONTROLE DE ESTOQUE'!K7</f>
        <v>🟡 PEDIR AGORA</v>
      </c>
    </row>
    <row r="15" spans="2:9" ht="21.75" customHeight="1">
      <c r="B15" s="10" t="str">
        <f>'CONTROLE DE ESTOQUE'!D8</f>
        <v>004</v>
      </c>
      <c r="C15" s="11" t="str">
        <f>'CONTROLE DE ESTOQUE'!E8</f>
        <v>Polivitamínico (un)</v>
      </c>
      <c r="D15" s="12">
        <f>'CONTROLE DE ESTOQUE'!H8</f>
        <v>80</v>
      </c>
      <c r="E15" s="12">
        <f>'CONTROLE DE ESTOQUE'!I8</f>
        <v>30</v>
      </c>
      <c r="F15" s="12">
        <f>'CONTROLE DE ESTOQUE'!J8</f>
        <v>100</v>
      </c>
      <c r="G15" s="13">
        <f t="shared" si="0"/>
        <v>0.8</v>
      </c>
      <c r="H15" s="14">
        <f t="shared" si="1"/>
        <v>2.6666666666666665</v>
      </c>
      <c r="I15" s="15" t="str">
        <f>'CONTROLE DE ESTOQUE'!K8</f>
        <v>🟡 PEDIR AGORA</v>
      </c>
    </row>
    <row r="16" spans="2:9" ht="21.75" customHeight="1">
      <c r="B16" s="4" t="str">
        <f>'CONTROLE DE ESTOQUE'!D9</f>
        <v>005</v>
      </c>
      <c r="C16" s="5" t="str">
        <f>'CONTROLE DE ESTOQUE'!E9</f>
        <v>Resmas de papel A4</v>
      </c>
      <c r="D16" s="6">
        <f>'CONTROLE DE ESTOQUE'!H9</f>
        <v>300</v>
      </c>
      <c r="E16" s="6">
        <f>'CONTROLE DE ESTOQUE'!I9</f>
        <v>150</v>
      </c>
      <c r="F16" s="6">
        <f>'CONTROLE DE ESTOQUE'!J9</f>
        <v>350</v>
      </c>
      <c r="G16" s="7">
        <f t="shared" si="0"/>
        <v>0.8571428571428571</v>
      </c>
      <c r="H16" s="8">
        <f t="shared" si="1"/>
        <v>2</v>
      </c>
      <c r="I16" s="9" t="str">
        <f>'CONTROLE DE ESTOQUE'!K9</f>
        <v>🟡 PEDIR AGORA</v>
      </c>
    </row>
    <row r="17" spans="2:9" ht="21.75" customHeight="1">
      <c r="B17" s="10" t="str">
        <f>'CONTROLE DE ESTOQUE'!D10</f>
        <v>006</v>
      </c>
      <c r="C17" s="11" t="str">
        <f>'CONTROLE DE ESTOQUE'!E10</f>
        <v>Essência cosmética (L)</v>
      </c>
      <c r="D17" s="12">
        <f>'CONTROLE DE ESTOQUE'!H10</f>
        <v>120</v>
      </c>
      <c r="E17" s="12">
        <f>'CONTROLE DE ESTOQUE'!I10</f>
        <v>50</v>
      </c>
      <c r="F17" s="12">
        <f>'CONTROLE DE ESTOQUE'!J10</f>
        <v>150</v>
      </c>
      <c r="G17" s="13">
        <f t="shared" si="0"/>
        <v>0.8</v>
      </c>
      <c r="H17" s="14">
        <f t="shared" si="1"/>
        <v>2.4</v>
      </c>
      <c r="I17" s="15" t="str">
        <f>'CONTROLE DE ESTOQUE'!K10</f>
        <v>🟡 PEDIR AGORA</v>
      </c>
    </row>
    <row r="18" spans="2:9" ht="21.75" customHeight="1">
      <c r="B18" s="4" t="str">
        <f>'CONTROLE DE ESTOQUE'!D11</f>
        <v>007</v>
      </c>
      <c r="C18" s="5" t="str">
        <f>'CONTROLE DE ESTOQUE'!E11</f>
        <v>Componente crítico (un)</v>
      </c>
      <c r="D18" s="6">
        <f>'CONTROLE DE ESTOQUE'!H11</f>
        <v>400</v>
      </c>
      <c r="E18" s="6">
        <f>'CONTROLE DE ESTOQUE'!I11</f>
        <v>150</v>
      </c>
      <c r="F18" s="6">
        <f>'CONTROLE DE ESTOQUE'!J11</f>
        <v>450</v>
      </c>
      <c r="G18" s="7">
        <f t="shared" si="0"/>
        <v>0.88888888888888884</v>
      </c>
      <c r="H18" s="8">
        <f t="shared" si="1"/>
        <v>2.6666666666666665</v>
      </c>
      <c r="I18" s="9" t="str">
        <f>'CONTROLE DE ESTOQUE'!K11</f>
        <v>🟡 PEDIR AGORA</v>
      </c>
    </row>
    <row r="19" spans="2:9" ht="21.75" customHeight="1">
      <c r="B19" s="10" t="str">
        <f>'CONTROLE DE ESTOQUE'!D12</f>
        <v>008</v>
      </c>
      <c r="C19" s="11" t="str">
        <f>'CONTROLE DE ESTOQUE'!E12</f>
        <v>Laptops (un)</v>
      </c>
      <c r="D19" s="12">
        <f>'CONTROLE DE ESTOQUE'!H12</f>
        <v>230</v>
      </c>
      <c r="E19" s="12">
        <f>'CONTROLE DE ESTOQUE'!I12</f>
        <v>50</v>
      </c>
      <c r="F19" s="12">
        <f>'CONTROLE DE ESTOQUE'!J12</f>
        <v>200</v>
      </c>
      <c r="G19" s="13">
        <f t="shared" si="0"/>
        <v>1.1499999999999999</v>
      </c>
      <c r="H19" s="14">
        <f t="shared" si="1"/>
        <v>4.5999999999999996</v>
      </c>
      <c r="I19" s="15" t="str">
        <f>'CONTROLE DE ESTOQUE'!K12</f>
        <v>🟢 OK</v>
      </c>
    </row>
    <row r="20" spans="2:9" ht="21.75" customHeight="1">
      <c r="B20" s="4" t="str">
        <f>'CONTROLE DE ESTOQUE'!D13</f>
        <v>009</v>
      </c>
      <c r="C20" s="5" t="str">
        <f>'CONTROLE DE ESTOQUE'!E13</f>
        <v>Kits de luvas</v>
      </c>
      <c r="D20" s="6">
        <f>'CONTROLE DE ESTOQUE'!H13</f>
        <v>7000</v>
      </c>
      <c r="E20" s="6">
        <f>'CONTROLE DE ESTOQUE'!I13</f>
        <v>2000</v>
      </c>
      <c r="F20" s="6">
        <f>'CONTROLE DE ESTOQUE'!J13</f>
        <v>7000</v>
      </c>
      <c r="G20" s="7">
        <f t="shared" si="0"/>
        <v>1</v>
      </c>
      <c r="H20" s="8">
        <f t="shared" si="1"/>
        <v>3.5</v>
      </c>
      <c r="I20" s="9" t="str">
        <f>'CONTROLE DE ESTOQUE'!K13</f>
        <v>🟡 PEDIR AGORA</v>
      </c>
    </row>
    <row r="21" spans="2:9" ht="21.75" customHeight="1">
      <c r="B21" s="10" t="str">
        <f>'CONTROLE DE ESTOQUE'!D14</f>
        <v>010</v>
      </c>
      <c r="C21" s="11" t="str">
        <f>'CONTROLE DE ESTOQUE'!E14</f>
        <v>Insumo industrial (un)</v>
      </c>
      <c r="D21" s="12">
        <f>'CONTROLE DE ESTOQUE'!H14</f>
        <v>600</v>
      </c>
      <c r="E21" s="12">
        <f>'CONTROLE DE ESTOQUE'!I14</f>
        <v>200</v>
      </c>
      <c r="F21" s="12">
        <f>'CONTROLE DE ESTOQUE'!J14</f>
        <v>600</v>
      </c>
      <c r="G21" s="13">
        <f t="shared" si="0"/>
        <v>1</v>
      </c>
      <c r="H21" s="14">
        <f t="shared" si="1"/>
        <v>3</v>
      </c>
      <c r="I21" s="15" t="str">
        <f>'CONTROLE DE ESTOQUE'!K14</f>
        <v>🟡 PEDIR AGORA</v>
      </c>
    </row>
  </sheetData>
  <sheetProtection autoFilter="0" pivotTables="0"/>
  <mergeCells count="11">
    <mergeCell ref="B6:C7"/>
    <mergeCell ref="D6:E7"/>
    <mergeCell ref="F6:G7"/>
    <mergeCell ref="H6:I7"/>
    <mergeCell ref="B10:I10"/>
    <mergeCell ref="B2:I2"/>
    <mergeCell ref="B3:I3"/>
    <mergeCell ref="B5:C5"/>
    <mergeCell ref="D5:E5"/>
    <mergeCell ref="F5:G5"/>
    <mergeCell ref="H5:I5"/>
  </mergeCells>
  <conditionalFormatting sqref="G12:G21">
    <cfRule type="dataBar" priority="5">
      <dataBar>
        <cfvo type="num" val="0"/>
        <cfvo type="num" val="2"/>
        <color rgb="FFC00000"/>
      </dataBar>
      <extLst>
        <ext xmlns:x14="http://schemas.microsoft.com/office/spreadsheetml/2009/9/main" uri="{B025F937-C7B1-47D3-B67F-A62EFF666E3E}">
          <x14:id>{768A80E5-652F-4E17-936F-F5B1E2D3367B}</x14:id>
        </ext>
      </extLst>
    </cfRule>
  </conditionalFormatting>
  <conditionalFormatting sqref="I12:I21">
    <cfRule type="expression" dxfId="2" priority="2">
      <formula>ISNUMBER(SEARCH("CRÍTICO",I12))</formula>
    </cfRule>
    <cfRule type="expression" dxfId="1" priority="3">
      <formula>ISNUMBER(SEARCH("PEDIR",I12))</formula>
    </cfRule>
    <cfRule type="expression" dxfId="0" priority="4">
      <formula>ISNUMBER(SEARCH("OK",I12))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8A80E5-652F-4E17-936F-F5B1E2D3367B}">
            <x14:dataBar axisPosition="none">
              <x14:cfvo type="num">
                <xm:f>0</xm:f>
              </x14:cfvo>
              <x14:cfvo type="num">
                <xm:f>2</xm:f>
              </x14:cfvo>
              <x14:negativeFillColor rgb="FFC00000"/>
            </x14:dataBar>
          </x14:cfRule>
          <xm:sqref>G12:G21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8" customWidth="1"/>
    <col min="2" max="2" width="10" customWidth="1"/>
    <col min="3" max="3" width="26" customWidth="1"/>
    <col min="4" max="5" width="14" customWidth="1"/>
  </cols>
  <sheetData>
    <row r="1">
      <c r="A1" t="inlineStr">
        <is>
          <t>PARETO DE SAÍDAS — CONCENTRAÇÃO DO CONSUMO (regra 80/20)</t>
        </is>
      </c>
    </row>
    <row r="2">
      <c r="A2" t="inlineStr">
        <is>
          <t>Itens ordenados pela maior saída. Linha = % acumulado.</t>
        </is>
      </c>
    </row>
    <row r="3">
      <c r="A3" t="inlineStr">
        <is>
          <t>ORDEM</t>
        </is>
      </c>
      <c r="B3" t="inlineStr">
        <is>
          <t>CÓDIGO</t>
        </is>
      </c>
      <c r="C3" t="inlineStr">
        <is>
          <t>ITEM</t>
        </is>
      </c>
      <c r="D3" t="inlineStr">
        <is>
          <t>SAÍDA</t>
        </is>
      </c>
      <c r="E3" t="inlineStr">
        <is>
          <t>% ACUMULADO</t>
        </is>
      </c>
    </row>
    <row r="4">
      <c r="A4">
        <v>1</v>
      </c>
      <c r="B4" t="inlineStr">
        <is>
          <t>009</t>
        </is>
      </c>
      <c r="C4" t="inlineStr">
        <is>
          <t>Kits de luvas</t>
        </is>
      </c>
      <c r="D4">
        <v>13000</v>
      </c>
      <c r="E4">
        <v>78.64</v>
      </c>
    </row>
    <row r="5">
      <c r="A5">
        <v>2</v>
      </c>
      <c r="B5" t="inlineStr">
        <is>
          <t>010</t>
        </is>
      </c>
      <c r="C5" t="inlineStr">
        <is>
          <t>Insumo industrial (un)</t>
        </is>
      </c>
      <c r="D5">
        <v>900</v>
      </c>
      <c r="E5">
        <v>84.09</v>
      </c>
    </row>
    <row r="6">
      <c r="A6">
        <v>3</v>
      </c>
      <c r="B6" t="inlineStr">
        <is>
          <t>007</t>
        </is>
      </c>
      <c r="C6" t="inlineStr">
        <is>
          <t>Componente crítico (un)</t>
        </is>
      </c>
      <c r="D6">
        <v>600</v>
      </c>
      <c r="E6">
        <v>87.72</v>
      </c>
    </row>
    <row r="7">
      <c r="A7">
        <v>4</v>
      </c>
      <c r="B7" t="inlineStr">
        <is>
          <t>005</t>
        </is>
      </c>
      <c r="C7" t="inlineStr">
        <is>
          <t>Resmas de papel A4</t>
        </is>
      </c>
      <c r="D7">
        <v>500</v>
      </c>
      <c r="E7">
        <v>90.74</v>
      </c>
    </row>
    <row r="8">
      <c r="A8">
        <v>5</v>
      </c>
      <c r="B8" t="inlineStr">
        <is>
          <t>001</t>
        </is>
      </c>
      <c r="C8" t="inlineStr">
        <is>
          <t>Filtro de óleo (un)</t>
        </is>
      </c>
      <c r="D8">
        <v>380</v>
      </c>
      <c r="E8">
        <v>93.04</v>
      </c>
    </row>
    <row r="9">
      <c r="A9">
        <v>6</v>
      </c>
      <c r="B9" t="inlineStr">
        <is>
          <t>003</t>
        </is>
      </c>
      <c r="C9" t="inlineStr">
        <is>
          <t>Chapas de MDF</t>
        </is>
      </c>
      <c r="D9">
        <v>350</v>
      </c>
      <c r="E9">
        <v>95.16</v>
      </c>
    </row>
    <row r="10">
      <c r="A10">
        <v>7</v>
      </c>
      <c r="B10" t="inlineStr">
        <is>
          <t>006</t>
        </is>
      </c>
      <c r="C10" t="inlineStr">
        <is>
          <t>Essência cosmética (L)</t>
        </is>
      </c>
      <c r="D10">
        <v>280</v>
      </c>
      <c r="E10">
        <v>96.85</v>
      </c>
    </row>
    <row r="11">
      <c r="A11">
        <v>8</v>
      </c>
      <c r="B11" t="inlineStr">
        <is>
          <t>004</t>
        </is>
      </c>
      <c r="C11" t="inlineStr">
        <is>
          <t>Polivitamínico (un)</t>
        </is>
      </c>
      <c r="D11">
        <v>220</v>
      </c>
      <c r="E11">
        <v>98.19</v>
      </c>
    </row>
    <row r="12">
      <c r="A12">
        <v>9</v>
      </c>
      <c r="B12" t="inlineStr">
        <is>
          <t>008</t>
        </is>
      </c>
      <c r="C12" t="inlineStr">
        <is>
          <t>Laptops (un)</t>
        </is>
      </c>
      <c r="D12">
        <v>170</v>
      </c>
      <c r="E12">
        <v>99.21</v>
      </c>
    </row>
    <row r="13">
      <c r="A13">
        <v>10</v>
      </c>
      <c r="B13" t="inlineStr">
        <is>
          <t>002</t>
        </is>
      </c>
      <c r="C13" t="inlineStr">
        <is>
          <t>Arroz (kg)</t>
        </is>
      </c>
      <c r="D13">
        <v>130</v>
      </c>
      <c r="E13">
        <v>100.0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8518CF5BD99744DB105BBE469710180" ma:contentTypeVersion="14" ma:contentTypeDescription="Crie um novo documento." ma:contentTypeScope="" ma:versionID="fc9175e3f707a56adf3f701d8b357b5f">
  <xsd:schema xmlns:xsd="http://www.w3.org/2001/XMLSchema" xmlns:xs="http://www.w3.org/2001/XMLSchema" xmlns:p="http://schemas.microsoft.com/office/2006/metadata/properties" xmlns:ns2="12d1b6ad-3648-4efb-87ce-3d66fcef7e6f" xmlns:ns3="2efb7d0d-b6b2-4263-9577-5fd21f046daf" targetNamespace="http://schemas.microsoft.com/office/2006/metadata/properties" ma:root="true" ma:fieldsID="a26b5e632d7a86afbf75bd1095232baa" ns2:_="" ns3:_="">
    <xsd:import namespace="12d1b6ad-3648-4efb-87ce-3d66fcef7e6f"/>
    <xsd:import namespace="2efb7d0d-b6b2-4263-9577-5fd21f046daf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d1b6ad-3648-4efb-87ce-3d66fcef7e6f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50b24568-bc51-4d24-b182-68fd093a1f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fb7d0d-b6b2-4263-9577-5fd21f046daf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87cf119-a319-4e2c-bfaf-be5196274164}" ma:internalName="TaxCatchAll" ma:showField="CatchAllData" ma:web="2efb7d0d-b6b2-4263-9577-5fd21f046d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2d1b6ad-3648-4efb-87ce-3d66fcef7e6f">
      <Terms xmlns="http://schemas.microsoft.com/office/infopath/2007/PartnerControls"/>
    </lcf76f155ced4ddcb4097134ff3c332f>
    <ReferenceId xmlns="12d1b6ad-3648-4efb-87ce-3d66fcef7e6f" xsi:nil="true"/>
    <TaxCatchAll xmlns="2efb7d0d-b6b2-4263-9577-5fd21f046da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B7D9E-BF88-4977-93BB-0E9885E57033}"/>
</file>

<file path=customXml/itemProps2.xml><?xml version="1.0" encoding="utf-8"?>
<ds:datastoreItem xmlns:ds="http://schemas.openxmlformats.org/officeDocument/2006/customXml" ds:itemID="{AAC2B538-2D5F-4A1B-B25A-A00078F1D50D}"/>
</file>

<file path=customXml/itemProps3.xml><?xml version="1.0" encoding="utf-8"?>
<ds:datastoreItem xmlns:ds="http://schemas.openxmlformats.org/officeDocument/2006/customXml" ds:itemID="{B283784F-5D2E-4BA2-A909-B3BA70DF689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</cp:revision>
  <dcterms:created xsi:type="dcterms:W3CDTF">2026-05-06T18:50:57Z</dcterms:created>
  <dcterms:modified xsi:type="dcterms:W3CDTF">2026-05-17T11:21:35Z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0x01010058518CF5BD99744DB105BBE469710180</vt:lpwstr>
  </property>
  <property fmtid="{D5CDD505-2E9C-101B-9397-08002B2CF9AE}" pid="3" name="MediaServiceImageTags">
    <vt:lpwstr/>
  </property>
</Properties>
</file>