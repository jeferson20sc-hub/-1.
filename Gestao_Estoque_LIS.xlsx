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 de lancamentos" sheetId="1" state="visible" r:id="rId1"/>
    <sheet name="Itens" sheetId="2" state="visible" r:id="rId2"/>
    <sheet name="Dashboards" sheetId="3" state="visible" r:id="rId3"/>
  </sheets>
  <definedNames>
    <definedName name="_xlnm._FilterDatabase" localSheetId="0" hidden="1">'Base de lancamentos'!$A$1:$M$2</definedName>
    <definedName name="_xlnm._FilterDatabase" localSheetId="1" hidden="1">'Itens'!$A$1:$F$11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529B"/>
      <sz val="16"/>
    </font>
    <font>
      <b val="1"/>
      <color rgb="00334155"/>
      <sz val="11"/>
    </font>
    <font>
      <b val="1"/>
      <color rgb="000F172A"/>
      <sz val="18"/>
    </font>
  </fonts>
  <fills count="7">
    <fill>
      <patternFill/>
    </fill>
    <fill>
      <patternFill patternType="gray125"/>
    </fill>
    <fill>
      <patternFill patternType="solid">
        <fgColor rgb="0000529B"/>
      </patternFill>
    </fill>
    <fill>
      <patternFill patternType="solid">
        <fgColor rgb="00107C41"/>
      </patternFill>
    </fill>
    <fill>
      <patternFill patternType="solid">
        <fgColor rgb="00F1F5F9"/>
      </patternFill>
    </fill>
    <fill>
      <patternFill patternType="solid">
        <fgColor rgb="00FCD34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Entradas vs Saídas — últimos 14 dias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'Dashboards'!N8</f>
            </strRef>
          </tx>
          <spPr>
            <a:ln>
              <a:prstDash val="solid"/>
            </a:ln>
          </spPr>
          <cat>
            <numRef>
              <f>'Dashboards'!$M$9:$M$22</f>
            </numRef>
          </cat>
          <val>
            <numRef>
              <f>'Dashboards'!$N$9:$N$22</f>
            </numRef>
          </val>
        </ser>
        <ser>
          <idx val="1"/>
          <order val="1"/>
          <tx>
            <strRef>
              <f>'Dashboards'!O8</f>
            </strRef>
          </tx>
          <spPr>
            <a:ln>
              <a:prstDash val="solid"/>
            </a:ln>
          </spPr>
          <cat>
            <numRef>
              <f>'Dashboards'!$M$9:$M$22</f>
            </numRef>
          </cat>
          <val>
            <numRef>
              <f>'Dashboards'!$O$9:$O$22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Saídas por item</a:t>
            </a:r>
          </a:p>
        </rich>
      </tx>
    </title>
    <plotArea>
      <pieChart>
        <varyColors val="1"/>
        <ser>
          <idx val="0"/>
          <order val="0"/>
          <tx>
            <strRef>
              <f>'Dashboards'!R8</f>
            </strRef>
          </tx>
          <spPr>
            <a:ln>
              <a:prstDash val="solid"/>
            </a:ln>
          </spPr>
          <cat>
            <numRef>
              <f>'Dashboards'!$Q$9:$Q$18</f>
            </numRef>
          </cat>
          <val>
            <numRef>
              <f>'Dashboards'!$R$9:$R$18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Saldo atual por item (Entrada − Saída)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'Dashboards'!U8</f>
            </strRef>
          </tx>
          <spPr>
            <a:ln>
              <a:prstDash val="solid"/>
            </a:ln>
          </spPr>
          <cat>
            <numRef>
              <f>'Dashboards'!$T$9:$T$18</f>
            </numRef>
          </cat>
          <val>
            <numRef>
              <f>'Dashboards'!$U$9:$U$18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Saldo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Item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Total de movimentações — acumulado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'Dashboards'!W8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'Dashboards'!$V$9:$V$22</f>
            </numRef>
          </cat>
          <val>
            <numRef>
              <f>'Dashboards'!$W$9:$W$22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acumulado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26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a" displayName="Tabela" ref="A1:M2" headerRowCount="1">
  <autoFilter ref="A1:M2"/>
  <tableColumns count="13">
    <tableColumn id="1" name="ID"/>
    <tableColumn id="2" name="Hora"/>
    <tableColumn id="3" name="Data"/>
    <tableColumn id="4" name="Operador"/>
    <tableColumn id="5" name="Codigo"/>
    <tableColumn id="6" name="Descricao"/>
    <tableColumn id="7" name="Tipo"/>
    <tableColumn id="8" name="Quantidade"/>
    <tableColumn id="9" name="Saldo"/>
    <tableColumn id="10" name="EstoqueSeg"/>
    <tableColumn id="11" name="PontoPedido"/>
    <tableColumn id="12" name="Status"/>
    <tableColumn id="13" name="Ori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tens" displayName="Itens" ref="A1:F11" headerRowCount="1">
  <autoFilter ref="A1:F11"/>
  <tableColumns count="6">
    <tableColumn id="1" name="Codigo"/>
    <tableColumn id="2" name="Descricao"/>
    <tableColumn id="3" name="Unidade"/>
    <tableColumn id="4" name="VenceRapido"/>
    <tableColumn id="5" name="EstoqueSeg"/>
    <tableColumn id="6" name="PontoPedido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6" customWidth="1" min="4" max="4"/>
    <col width="10" customWidth="1" min="5" max="5"/>
    <col width="42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  <col width="18" customWidth="1" min="12" max="12"/>
    <col width="12" customWidth="1" min="13" max="13"/>
  </cols>
  <sheetData>
    <row r="1" ht="28" customHeight="1">
      <c r="A1" s="1" t="inlineStr">
        <is>
          <t>ID</t>
        </is>
      </c>
      <c r="B1" s="1" t="inlineStr">
        <is>
          <t>Hora</t>
        </is>
      </c>
      <c r="C1" s="1" t="inlineStr">
        <is>
          <t>Data</t>
        </is>
      </c>
      <c r="D1" s="1" t="inlineStr">
        <is>
          <t>Operador</t>
        </is>
      </c>
      <c r="E1" s="1" t="inlineStr">
        <is>
          <t>Codigo</t>
        </is>
      </c>
      <c r="F1" s="1" t="inlineStr">
        <is>
          <t>Descricao</t>
        </is>
      </c>
      <c r="G1" s="1" t="inlineStr">
        <is>
          <t>Tipo</t>
        </is>
      </c>
      <c r="H1" s="1" t="inlineStr">
        <is>
          <t>Quantidade</t>
        </is>
      </c>
      <c r="I1" s="1" t="inlineStr">
        <is>
          <t>Saldo</t>
        </is>
      </c>
      <c r="J1" s="1" t="inlineStr">
        <is>
          <t>EstoqueSeg</t>
        </is>
      </c>
      <c r="K1" s="1" t="inlineStr">
        <is>
          <t>PontoPedido</t>
        </is>
      </c>
      <c r="L1" s="1" t="inlineStr">
        <is>
          <t>Status</t>
        </is>
      </c>
      <c r="M1" s="1" t="inlineStr">
        <is>
          <t>Origem</t>
        </is>
      </c>
    </row>
    <row r="2">
      <c r="A2" s="2" t="inlineStr">
        <is>
          <t>LIS-EXEMPLO-001</t>
        </is>
      </c>
      <c r="B2" s="2" t="inlineStr">
        <is>
          <t>12:00:00</t>
        </is>
      </c>
      <c r="C2" s="2" t="inlineStr">
        <is>
          <t>19/05/2026, 12:00:00</t>
        </is>
      </c>
      <c r="D2" s="2" t="inlineStr">
        <is>
          <t>Jeferson</t>
        </is>
      </c>
      <c r="E2" s="2" t="inlineStr">
        <is>
          <t>001</t>
        </is>
      </c>
      <c r="F2" s="3" t="inlineStr">
        <is>
          <t>Filtro de óleo (loja de peças)</t>
        </is>
      </c>
      <c r="G2" s="2" t="inlineStr">
        <is>
          <t>Entrada</t>
        </is>
      </c>
      <c r="H2" s="2" t="n">
        <v>10</v>
      </c>
      <c r="I2" s="2" t="n">
        <v>130</v>
      </c>
      <c r="J2" s="2" t="n">
        <v>40</v>
      </c>
      <c r="K2" s="2" t="n">
        <v>140</v>
      </c>
      <c r="L2" s="2" t="inlineStr">
        <is>
          <t>🟢 OK</t>
        </is>
      </c>
      <c r="M2" s="2" t="inlineStr">
        <is>
          <t>Site</t>
        </is>
      </c>
    </row>
  </sheetData>
  <autoFilter ref="A1:M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2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4" t="inlineStr">
        <is>
          <t>Codigo</t>
        </is>
      </c>
      <c r="B1" s="4" t="inlineStr">
        <is>
          <t>Descricao</t>
        </is>
      </c>
      <c r="C1" s="4" t="inlineStr">
        <is>
          <t>Unidade</t>
        </is>
      </c>
      <c r="D1" s="4" t="inlineStr">
        <is>
          <t>VenceRapido</t>
        </is>
      </c>
      <c r="E1" s="4" t="inlineStr">
        <is>
          <t>EstoqueSeg</t>
        </is>
      </c>
      <c r="F1" s="4" t="inlineStr">
        <is>
          <t>PontoPedido</t>
        </is>
      </c>
    </row>
    <row r="2">
      <c r="A2" t="inlineStr">
        <is>
          <t>001</t>
        </is>
      </c>
      <c r="B2" t="inlineStr">
        <is>
          <t>Filtro de óleo (loja de peças)</t>
        </is>
      </c>
      <c r="C2" t="inlineStr">
        <is>
          <t>un</t>
        </is>
      </c>
      <c r="D2" t="inlineStr">
        <is>
          <t>Não</t>
        </is>
      </c>
      <c r="E2" t="n">
        <v>40</v>
      </c>
      <c r="F2" t="n">
        <v>140</v>
      </c>
    </row>
    <row r="3">
      <c r="A3" t="inlineStr">
        <is>
          <t>002</t>
        </is>
      </c>
      <c r="B3" t="inlineStr">
        <is>
          <t>Arroz (restaurante)</t>
        </is>
      </c>
      <c r="C3" t="inlineStr">
        <is>
          <t>kg</t>
        </is>
      </c>
      <c r="D3" t="inlineStr">
        <is>
          <t>Sim</t>
        </is>
      </c>
      <c r="E3" t="n">
        <v>10</v>
      </c>
      <c r="F3" t="n">
        <v>55</v>
      </c>
    </row>
    <row r="4">
      <c r="A4" t="inlineStr">
        <is>
          <t>003</t>
        </is>
      </c>
      <c r="B4" t="inlineStr">
        <is>
          <t>Chapas de MDF (fábrica de móveis)</t>
        </is>
      </c>
      <c r="C4" t="inlineStr">
        <is>
          <t>un</t>
        </is>
      </c>
      <c r="D4" t="inlineStr">
        <is>
          <t>Não</t>
        </is>
      </c>
      <c r="E4" t="n">
        <v>100</v>
      </c>
      <c r="F4" t="n">
        <v>300</v>
      </c>
    </row>
    <row r="5">
      <c r="A5" t="inlineStr">
        <is>
          <t>004</t>
        </is>
      </c>
      <c r="B5" t="inlineStr">
        <is>
          <t>Polivitamínico (farmácia)</t>
        </is>
      </c>
      <c r="C5" t="inlineStr">
        <is>
          <t>un</t>
        </is>
      </c>
      <c r="D5" t="inlineStr">
        <is>
          <t>Sim</t>
        </is>
      </c>
      <c r="E5" t="n">
        <v>30</v>
      </c>
      <c r="F5" t="n">
        <v>100</v>
      </c>
    </row>
    <row r="6">
      <c r="A6" t="inlineStr">
        <is>
          <t>005</t>
        </is>
      </c>
      <c r="B6" t="inlineStr">
        <is>
          <t>Resmas de papel A4 (papelaria)</t>
        </is>
      </c>
      <c r="C6" t="inlineStr">
        <is>
          <t>un</t>
        </is>
      </c>
      <c r="D6" t="inlineStr">
        <is>
          <t>Não</t>
        </is>
      </c>
      <c r="E6" t="n">
        <v>150</v>
      </c>
      <c r="F6" t="n">
        <v>350</v>
      </c>
    </row>
    <row r="7">
      <c r="A7" t="inlineStr">
        <is>
          <t>006</t>
        </is>
      </c>
      <c r="B7" t="inlineStr">
        <is>
          <t>Essência cosmética (cosméticos)</t>
        </is>
      </c>
      <c r="C7" t="inlineStr">
        <is>
          <t>L</t>
        </is>
      </c>
      <c r="D7" t="inlineStr">
        <is>
          <t>Sim</t>
        </is>
      </c>
      <c r="E7" t="n">
        <v>50</v>
      </c>
      <c r="F7" t="n">
        <v>150</v>
      </c>
    </row>
    <row r="8">
      <c r="A8" t="inlineStr">
        <is>
          <t>007</t>
        </is>
      </c>
      <c r="B8" t="inlineStr">
        <is>
          <t>Componente crítico (peças críticas)</t>
        </is>
      </c>
      <c r="C8" t="inlineStr">
        <is>
          <t>un</t>
        </is>
      </c>
      <c r="D8" t="inlineStr">
        <is>
          <t>Não</t>
        </is>
      </c>
      <c r="E8" t="n">
        <v>150</v>
      </c>
      <c r="F8" t="n">
        <v>450</v>
      </c>
    </row>
    <row r="9">
      <c r="A9" t="inlineStr">
        <is>
          <t>008</t>
        </is>
      </c>
      <c r="B9" t="inlineStr">
        <is>
          <t>Laptops (varejo eletrônicos)</t>
        </is>
      </c>
      <c r="C9" t="inlineStr">
        <is>
          <t>un</t>
        </is>
      </c>
      <c r="D9" t="inlineStr">
        <is>
          <t>Não</t>
        </is>
      </c>
      <c r="E9" t="n">
        <v>50</v>
      </c>
      <c r="F9" t="n">
        <v>200</v>
      </c>
    </row>
    <row r="10">
      <c r="A10" t="inlineStr">
        <is>
          <t>009</t>
        </is>
      </c>
      <c r="B10" t="inlineStr">
        <is>
          <t>Kits de luvas hospitalar (NR-32)</t>
        </is>
      </c>
      <c r="C10" t="inlineStr">
        <is>
          <t>cx</t>
        </is>
      </c>
      <c r="D10" t="inlineStr">
        <is>
          <t>Sim</t>
        </is>
      </c>
      <c r="E10" t="n">
        <v>2000</v>
      </c>
      <c r="F10" t="n">
        <v>7000</v>
      </c>
    </row>
    <row r="11">
      <c r="A11" t="inlineStr">
        <is>
          <t>010</t>
        </is>
      </c>
      <c r="B11" t="inlineStr">
        <is>
          <t>Insumo industrial</t>
        </is>
      </c>
      <c r="C11" t="inlineStr">
        <is>
          <t>un</t>
        </is>
      </c>
      <c r="D11" t="inlineStr">
        <is>
          <t>Não</t>
        </is>
      </c>
      <c r="E11" t="n">
        <v>200</v>
      </c>
      <c r="F11" t="n">
        <v>600</v>
      </c>
    </row>
  </sheetData>
  <autoFilter ref="A1:F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W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4" customWidth="1" min="13" max="13"/>
    <col width="14" customWidth="1" min="14" max="14"/>
    <col width="14" customWidth="1" min="15" max="15"/>
    <col width="10" customWidth="1" min="17" max="17"/>
    <col width="12" customWidth="1" min="18" max="18"/>
    <col width="10" customWidth="1" min="20" max="20"/>
    <col width="12" customWidth="1" min="21" max="21"/>
    <col width="14" customWidth="1" min="22" max="22"/>
    <col width="16" customWidth="1" min="23" max="23"/>
  </cols>
  <sheetData>
    <row r="2">
      <c r="B2" s="5" t="inlineStr">
        <is>
          <t>DASHBOARD — GESTÃO DE ESTOQUE LIS</t>
        </is>
      </c>
    </row>
    <row r="3">
      <c r="B3" s="6" t="inlineStr">
        <is>
          <t>Atualiza automaticamente conforme o Power Automate insere linhas em 'Base de lancamentos'.</t>
        </is>
      </c>
    </row>
    <row r="5" ht="26" customHeight="1">
      <c r="B5" s="4" t="inlineStr">
        <is>
          <t>📋 Movimentações</t>
        </is>
      </c>
      <c r="C5" s="1" t="inlineStr">
        <is>
          <t>➕ Total Entradas</t>
        </is>
      </c>
      <c r="D5" s="7" t="inlineStr">
        <is>
          <t>➖ Total Saídas</t>
        </is>
      </c>
      <c r="E5" s="1" t="inlineStr">
        <is>
          <t>👥 Operadores</t>
        </is>
      </c>
      <c r="F5" s="7" t="inlineStr">
        <is>
          <t>🟡 Itens p/ pedir</t>
        </is>
      </c>
      <c r="G5" s="8" t="inlineStr">
        <is>
          <t>🔴 Itens críticos</t>
        </is>
      </c>
    </row>
    <row r="6" ht="36" customHeight="1">
      <c r="B6" s="9">
        <f>COUNTA(Tabela[ID])</f>
        <v/>
      </c>
      <c r="C6" s="9">
        <f>SUMIFS(Tabela[Quantidade],Tabela[Tipo],"Entrada")</f>
        <v/>
      </c>
      <c r="D6" s="9">
        <f>SUMIFS(Tabela[Quantidade],Tabela[Tipo],"Saída")</f>
        <v/>
      </c>
      <c r="E6" s="9">
        <f>SUMPRODUCT((Tabela[Operador]&lt;&gt;"")/COUNTIF(Tabela[Operador],Tabela[Operador]&amp;""))</f>
        <v/>
      </c>
      <c r="F6" s="9">
        <f>COUNTIF(Tabela[Status],"*PEDIR*")</f>
        <v/>
      </c>
      <c r="G6" s="9">
        <f>COUNTIF(Tabela[Status],"*CRÍTICO*")</f>
        <v/>
      </c>
    </row>
    <row r="8">
      <c r="M8" s="1" t="inlineStr">
        <is>
          <t>Data</t>
        </is>
      </c>
      <c r="N8" s="1" t="inlineStr">
        <is>
          <t>Entradas</t>
        </is>
      </c>
      <c r="O8" s="1" t="inlineStr">
        <is>
          <t>Saídas</t>
        </is>
      </c>
      <c r="Q8" s="1" t="inlineStr">
        <is>
          <t>Item</t>
        </is>
      </c>
      <c r="R8" s="1" t="inlineStr">
        <is>
          <t>Saídas</t>
        </is>
      </c>
      <c r="T8" s="1" t="inlineStr">
        <is>
          <t>Item</t>
        </is>
      </c>
      <c r="U8" s="1" t="inlineStr">
        <is>
          <t>Saldo</t>
        </is>
      </c>
      <c r="V8" s="1" t="inlineStr">
        <is>
          <t>Data</t>
        </is>
      </c>
      <c r="W8" s="1" t="inlineStr">
        <is>
          <t>Mov. acumulado</t>
        </is>
      </c>
    </row>
    <row r="9">
      <c r="M9" s="10">
        <f>TODAY()-13</f>
        <v/>
      </c>
      <c r="N9">
        <f>SUMPRODUCT((LEFT(Tabela[Data],10)=TEXT($M9,"dd/mm/yyyy"))*(Tabela[Tipo]="Entrada")*Tabela[Quantidade])</f>
        <v/>
      </c>
      <c r="O9">
        <f>SUMPRODUCT((LEFT(Tabela[Data],10)=TEXT($M9,"dd/mm/yyyy"))*(Tabela[Tipo]="Saída")*Tabela[Quantidade])</f>
        <v/>
      </c>
      <c r="Q9" t="inlineStr">
        <is>
          <t>001</t>
        </is>
      </c>
      <c r="R9">
        <f>SUMIFS(Tabela[Quantidade],Tabela[Codigo],$Q9,Tabela[Tipo],"Saída")</f>
        <v/>
      </c>
      <c r="T9" t="inlineStr">
        <is>
          <t>001</t>
        </is>
      </c>
      <c r="U9">
        <f>SUMIFS(Tabela[Quantidade],Tabela[Codigo],$T9,Tabela[Tipo],"Entrada")-SUMIFS(Tabela[Quantidade],Tabela[Codigo],$T9,Tabela[Tipo],"Saída")</f>
        <v/>
      </c>
      <c r="V9" s="10">
        <f>TODAY()-13</f>
        <v/>
      </c>
      <c r="W9">
        <f>SUMPRODUCT((LEFT(Tabela[Data],10)&lt;=TEXT($V9,"dd/mm/yyyy"))*1)</f>
        <v/>
      </c>
    </row>
    <row r="10">
      <c r="M10" s="10">
        <f>TODAY()-12</f>
        <v/>
      </c>
      <c r="N10">
        <f>SUMPRODUCT((LEFT(Tabela[Data],10)=TEXT($M10,"dd/mm/yyyy"))*(Tabela[Tipo]="Entrada")*Tabela[Quantidade])</f>
        <v/>
      </c>
      <c r="O10">
        <f>SUMPRODUCT((LEFT(Tabela[Data],10)=TEXT($M10,"dd/mm/yyyy"))*(Tabela[Tipo]="Saída")*Tabela[Quantidade])</f>
        <v/>
      </c>
      <c r="Q10" t="inlineStr">
        <is>
          <t>002</t>
        </is>
      </c>
      <c r="R10">
        <f>SUMIFS(Tabela[Quantidade],Tabela[Codigo],$Q10,Tabela[Tipo],"Saída")</f>
        <v/>
      </c>
      <c r="T10" t="inlineStr">
        <is>
          <t>002</t>
        </is>
      </c>
      <c r="U10">
        <f>SUMIFS(Tabela[Quantidade],Tabela[Codigo],$T10,Tabela[Tipo],"Entrada")-SUMIFS(Tabela[Quantidade],Tabela[Codigo],$T10,Tabela[Tipo],"Saída")</f>
        <v/>
      </c>
      <c r="V10" s="10">
        <f>TODAY()-12</f>
        <v/>
      </c>
      <c r="W10">
        <f>SUMPRODUCT((LEFT(Tabela[Data],10)&lt;=TEXT($V10,"dd/mm/yyyy"))*1)</f>
        <v/>
      </c>
    </row>
    <row r="11">
      <c r="M11" s="10">
        <f>TODAY()-11</f>
        <v/>
      </c>
      <c r="N11">
        <f>SUMPRODUCT((LEFT(Tabela[Data],10)=TEXT($M11,"dd/mm/yyyy"))*(Tabela[Tipo]="Entrada")*Tabela[Quantidade])</f>
        <v/>
      </c>
      <c r="O11">
        <f>SUMPRODUCT((LEFT(Tabela[Data],10)=TEXT($M11,"dd/mm/yyyy"))*(Tabela[Tipo]="Saída")*Tabela[Quantidade])</f>
        <v/>
      </c>
      <c r="Q11" t="inlineStr">
        <is>
          <t>003</t>
        </is>
      </c>
      <c r="R11">
        <f>SUMIFS(Tabela[Quantidade],Tabela[Codigo],$Q11,Tabela[Tipo],"Saída")</f>
        <v/>
      </c>
      <c r="T11" t="inlineStr">
        <is>
          <t>003</t>
        </is>
      </c>
      <c r="U11">
        <f>SUMIFS(Tabela[Quantidade],Tabela[Codigo],$T11,Tabela[Tipo],"Entrada")-SUMIFS(Tabela[Quantidade],Tabela[Codigo],$T11,Tabela[Tipo],"Saída")</f>
        <v/>
      </c>
      <c r="V11" s="10">
        <f>TODAY()-11</f>
        <v/>
      </c>
      <c r="W11">
        <f>SUMPRODUCT((LEFT(Tabela[Data],10)&lt;=TEXT($V11,"dd/mm/yyyy"))*1)</f>
        <v/>
      </c>
    </row>
    <row r="12">
      <c r="M12" s="10">
        <f>TODAY()-10</f>
        <v/>
      </c>
      <c r="N12">
        <f>SUMPRODUCT((LEFT(Tabela[Data],10)=TEXT($M12,"dd/mm/yyyy"))*(Tabela[Tipo]="Entrada")*Tabela[Quantidade])</f>
        <v/>
      </c>
      <c r="O12">
        <f>SUMPRODUCT((LEFT(Tabela[Data],10)=TEXT($M12,"dd/mm/yyyy"))*(Tabela[Tipo]="Saída")*Tabela[Quantidade])</f>
        <v/>
      </c>
      <c r="Q12" t="inlineStr">
        <is>
          <t>004</t>
        </is>
      </c>
      <c r="R12">
        <f>SUMIFS(Tabela[Quantidade],Tabela[Codigo],$Q12,Tabela[Tipo],"Saída")</f>
        <v/>
      </c>
      <c r="T12" t="inlineStr">
        <is>
          <t>004</t>
        </is>
      </c>
      <c r="U12">
        <f>SUMIFS(Tabela[Quantidade],Tabela[Codigo],$T12,Tabela[Tipo],"Entrada")-SUMIFS(Tabela[Quantidade],Tabela[Codigo],$T12,Tabela[Tipo],"Saída")</f>
        <v/>
      </c>
      <c r="V12" s="10">
        <f>TODAY()-10</f>
        <v/>
      </c>
      <c r="W12">
        <f>SUMPRODUCT((LEFT(Tabela[Data],10)&lt;=TEXT($V12,"dd/mm/yyyy"))*1)</f>
        <v/>
      </c>
    </row>
    <row r="13">
      <c r="M13" s="10">
        <f>TODAY()-9</f>
        <v/>
      </c>
      <c r="N13">
        <f>SUMPRODUCT((LEFT(Tabela[Data],10)=TEXT($M13,"dd/mm/yyyy"))*(Tabela[Tipo]="Entrada")*Tabela[Quantidade])</f>
        <v/>
      </c>
      <c r="O13">
        <f>SUMPRODUCT((LEFT(Tabela[Data],10)=TEXT($M13,"dd/mm/yyyy"))*(Tabela[Tipo]="Saída")*Tabela[Quantidade])</f>
        <v/>
      </c>
      <c r="Q13" t="inlineStr">
        <is>
          <t>005</t>
        </is>
      </c>
      <c r="R13">
        <f>SUMIFS(Tabela[Quantidade],Tabela[Codigo],$Q13,Tabela[Tipo],"Saída")</f>
        <v/>
      </c>
      <c r="T13" t="inlineStr">
        <is>
          <t>005</t>
        </is>
      </c>
      <c r="U13">
        <f>SUMIFS(Tabela[Quantidade],Tabela[Codigo],$T13,Tabela[Tipo],"Entrada")-SUMIFS(Tabela[Quantidade],Tabela[Codigo],$T13,Tabela[Tipo],"Saída")</f>
        <v/>
      </c>
      <c r="V13" s="10">
        <f>TODAY()-9</f>
        <v/>
      </c>
      <c r="W13">
        <f>SUMPRODUCT((LEFT(Tabela[Data],10)&lt;=TEXT($V13,"dd/mm/yyyy"))*1)</f>
        <v/>
      </c>
    </row>
    <row r="14">
      <c r="M14" s="10">
        <f>TODAY()-8</f>
        <v/>
      </c>
      <c r="N14">
        <f>SUMPRODUCT((LEFT(Tabela[Data],10)=TEXT($M14,"dd/mm/yyyy"))*(Tabela[Tipo]="Entrada")*Tabela[Quantidade])</f>
        <v/>
      </c>
      <c r="O14">
        <f>SUMPRODUCT((LEFT(Tabela[Data],10)=TEXT($M14,"dd/mm/yyyy"))*(Tabela[Tipo]="Saída")*Tabela[Quantidade])</f>
        <v/>
      </c>
      <c r="Q14" t="inlineStr">
        <is>
          <t>006</t>
        </is>
      </c>
      <c r="R14">
        <f>SUMIFS(Tabela[Quantidade],Tabela[Codigo],$Q14,Tabela[Tipo],"Saída")</f>
        <v/>
      </c>
      <c r="T14" t="inlineStr">
        <is>
          <t>006</t>
        </is>
      </c>
      <c r="U14">
        <f>SUMIFS(Tabela[Quantidade],Tabela[Codigo],$T14,Tabela[Tipo],"Entrada")-SUMIFS(Tabela[Quantidade],Tabela[Codigo],$T14,Tabela[Tipo],"Saída")</f>
        <v/>
      </c>
      <c r="V14" s="10">
        <f>TODAY()-8</f>
        <v/>
      </c>
      <c r="W14">
        <f>SUMPRODUCT((LEFT(Tabela[Data],10)&lt;=TEXT($V14,"dd/mm/yyyy"))*1)</f>
        <v/>
      </c>
    </row>
    <row r="15">
      <c r="M15" s="10">
        <f>TODAY()-7</f>
        <v/>
      </c>
      <c r="N15">
        <f>SUMPRODUCT((LEFT(Tabela[Data],10)=TEXT($M15,"dd/mm/yyyy"))*(Tabela[Tipo]="Entrada")*Tabela[Quantidade])</f>
        <v/>
      </c>
      <c r="O15">
        <f>SUMPRODUCT((LEFT(Tabela[Data],10)=TEXT($M15,"dd/mm/yyyy"))*(Tabela[Tipo]="Saída")*Tabela[Quantidade])</f>
        <v/>
      </c>
      <c r="Q15" t="inlineStr">
        <is>
          <t>007</t>
        </is>
      </c>
      <c r="R15">
        <f>SUMIFS(Tabela[Quantidade],Tabela[Codigo],$Q15,Tabela[Tipo],"Saída")</f>
        <v/>
      </c>
      <c r="T15" t="inlineStr">
        <is>
          <t>007</t>
        </is>
      </c>
      <c r="U15">
        <f>SUMIFS(Tabela[Quantidade],Tabela[Codigo],$T15,Tabela[Tipo],"Entrada")-SUMIFS(Tabela[Quantidade],Tabela[Codigo],$T15,Tabela[Tipo],"Saída")</f>
        <v/>
      </c>
      <c r="V15" s="10">
        <f>TODAY()-7</f>
        <v/>
      </c>
      <c r="W15">
        <f>SUMPRODUCT((LEFT(Tabela[Data],10)&lt;=TEXT($V15,"dd/mm/yyyy"))*1)</f>
        <v/>
      </c>
    </row>
    <row r="16">
      <c r="M16" s="10">
        <f>TODAY()-6</f>
        <v/>
      </c>
      <c r="N16">
        <f>SUMPRODUCT((LEFT(Tabela[Data],10)=TEXT($M16,"dd/mm/yyyy"))*(Tabela[Tipo]="Entrada")*Tabela[Quantidade])</f>
        <v/>
      </c>
      <c r="O16">
        <f>SUMPRODUCT((LEFT(Tabela[Data],10)=TEXT($M16,"dd/mm/yyyy"))*(Tabela[Tipo]="Saída")*Tabela[Quantidade])</f>
        <v/>
      </c>
      <c r="Q16" t="inlineStr">
        <is>
          <t>008</t>
        </is>
      </c>
      <c r="R16">
        <f>SUMIFS(Tabela[Quantidade],Tabela[Codigo],$Q16,Tabela[Tipo],"Saída")</f>
        <v/>
      </c>
      <c r="T16" t="inlineStr">
        <is>
          <t>008</t>
        </is>
      </c>
      <c r="U16">
        <f>SUMIFS(Tabela[Quantidade],Tabela[Codigo],$T16,Tabela[Tipo],"Entrada")-SUMIFS(Tabela[Quantidade],Tabela[Codigo],$T16,Tabela[Tipo],"Saída")</f>
        <v/>
      </c>
      <c r="V16" s="10">
        <f>TODAY()-6</f>
        <v/>
      </c>
      <c r="W16">
        <f>SUMPRODUCT((LEFT(Tabela[Data],10)&lt;=TEXT($V16,"dd/mm/yyyy"))*1)</f>
        <v/>
      </c>
    </row>
    <row r="17">
      <c r="M17" s="10">
        <f>TODAY()-5</f>
        <v/>
      </c>
      <c r="N17">
        <f>SUMPRODUCT((LEFT(Tabela[Data],10)=TEXT($M17,"dd/mm/yyyy"))*(Tabela[Tipo]="Entrada")*Tabela[Quantidade])</f>
        <v/>
      </c>
      <c r="O17">
        <f>SUMPRODUCT((LEFT(Tabela[Data],10)=TEXT($M17,"dd/mm/yyyy"))*(Tabela[Tipo]="Saída")*Tabela[Quantidade])</f>
        <v/>
      </c>
      <c r="Q17" t="inlineStr">
        <is>
          <t>009</t>
        </is>
      </c>
      <c r="R17">
        <f>SUMIFS(Tabela[Quantidade],Tabela[Codigo],$Q17,Tabela[Tipo],"Saída")</f>
        <v/>
      </c>
      <c r="T17" t="inlineStr">
        <is>
          <t>009</t>
        </is>
      </c>
      <c r="U17">
        <f>SUMIFS(Tabela[Quantidade],Tabela[Codigo],$T17,Tabela[Tipo],"Entrada")-SUMIFS(Tabela[Quantidade],Tabela[Codigo],$T17,Tabela[Tipo],"Saída")</f>
        <v/>
      </c>
      <c r="V17" s="10">
        <f>TODAY()-5</f>
        <v/>
      </c>
      <c r="W17">
        <f>SUMPRODUCT((LEFT(Tabela[Data],10)&lt;=TEXT($V17,"dd/mm/yyyy"))*1)</f>
        <v/>
      </c>
    </row>
    <row r="18">
      <c r="M18" s="10">
        <f>TODAY()-4</f>
        <v/>
      </c>
      <c r="N18">
        <f>SUMPRODUCT((LEFT(Tabela[Data],10)=TEXT($M18,"dd/mm/yyyy"))*(Tabela[Tipo]="Entrada")*Tabela[Quantidade])</f>
        <v/>
      </c>
      <c r="O18">
        <f>SUMPRODUCT((LEFT(Tabela[Data],10)=TEXT($M18,"dd/mm/yyyy"))*(Tabela[Tipo]="Saída")*Tabela[Quantidade])</f>
        <v/>
      </c>
      <c r="Q18" t="inlineStr">
        <is>
          <t>010</t>
        </is>
      </c>
      <c r="R18">
        <f>SUMIFS(Tabela[Quantidade],Tabela[Codigo],$Q18,Tabela[Tipo],"Saída")</f>
        <v/>
      </c>
      <c r="T18" t="inlineStr">
        <is>
          <t>010</t>
        </is>
      </c>
      <c r="U18">
        <f>SUMIFS(Tabela[Quantidade],Tabela[Codigo],$T18,Tabela[Tipo],"Entrada")-SUMIFS(Tabela[Quantidade],Tabela[Codigo],$T18,Tabela[Tipo],"Saída")</f>
        <v/>
      </c>
      <c r="V18" s="10">
        <f>TODAY()-4</f>
        <v/>
      </c>
      <c r="W18">
        <f>SUMPRODUCT((LEFT(Tabela[Data],10)&lt;=TEXT($V18,"dd/mm/yyyy"))*1)</f>
        <v/>
      </c>
    </row>
    <row r="19">
      <c r="M19" s="10">
        <f>TODAY()-3</f>
        <v/>
      </c>
      <c r="N19">
        <f>SUMPRODUCT((LEFT(Tabela[Data],10)=TEXT($M19,"dd/mm/yyyy"))*(Tabela[Tipo]="Entrada")*Tabela[Quantidade])</f>
        <v/>
      </c>
      <c r="O19">
        <f>SUMPRODUCT((LEFT(Tabela[Data],10)=TEXT($M19,"dd/mm/yyyy"))*(Tabela[Tipo]="Saída")*Tabela[Quantidade])</f>
        <v/>
      </c>
      <c r="V19" s="10">
        <f>TODAY()-3</f>
        <v/>
      </c>
      <c r="W19">
        <f>SUMPRODUCT((LEFT(Tabela[Data],10)&lt;=TEXT($V19,"dd/mm/yyyy"))*1)</f>
        <v/>
      </c>
    </row>
    <row r="20">
      <c r="M20" s="10">
        <f>TODAY()-2</f>
        <v/>
      </c>
      <c r="N20">
        <f>SUMPRODUCT((LEFT(Tabela[Data],10)=TEXT($M20,"dd/mm/yyyy"))*(Tabela[Tipo]="Entrada")*Tabela[Quantidade])</f>
        <v/>
      </c>
      <c r="O20">
        <f>SUMPRODUCT((LEFT(Tabela[Data],10)=TEXT($M20,"dd/mm/yyyy"))*(Tabela[Tipo]="Saída")*Tabela[Quantidade])</f>
        <v/>
      </c>
      <c r="V20" s="10">
        <f>TODAY()-2</f>
        <v/>
      </c>
      <c r="W20">
        <f>SUMPRODUCT((LEFT(Tabela[Data],10)&lt;=TEXT($V20,"dd/mm/yyyy"))*1)</f>
        <v/>
      </c>
    </row>
    <row r="21">
      <c r="M21" s="10">
        <f>TODAY()-1</f>
        <v/>
      </c>
      <c r="N21">
        <f>SUMPRODUCT((LEFT(Tabela[Data],10)=TEXT($M21,"dd/mm/yyyy"))*(Tabela[Tipo]="Entrada")*Tabela[Quantidade])</f>
        <v/>
      </c>
      <c r="O21">
        <f>SUMPRODUCT((LEFT(Tabela[Data],10)=TEXT($M21,"dd/mm/yyyy"))*(Tabela[Tipo]="Saída")*Tabela[Quantidade])</f>
        <v/>
      </c>
      <c r="V21" s="10">
        <f>TODAY()-1</f>
        <v/>
      </c>
      <c r="W21">
        <f>SUMPRODUCT((LEFT(Tabela[Data],10)&lt;=TEXT($V21,"dd/mm/yyyy"))*1)</f>
        <v/>
      </c>
    </row>
    <row r="22">
      <c r="M22" s="10">
        <f>TODAY()-0</f>
        <v/>
      </c>
      <c r="N22">
        <f>SUMPRODUCT((LEFT(Tabela[Data],10)=TEXT($M22,"dd/mm/yyyy"))*(Tabela[Tipo]="Entrada")*Tabela[Quantidade])</f>
        <v/>
      </c>
      <c r="O22">
        <f>SUMPRODUCT((LEFT(Tabela[Data],10)=TEXT($M22,"dd/mm/yyyy"))*(Tabela[Tipo]="Saída")*Tabela[Quantidade])</f>
        <v/>
      </c>
      <c r="V22" s="10">
        <f>TODAY()-0</f>
        <v/>
      </c>
      <c r="W22">
        <f>SUMPRODUCT((LEFT(Tabela[Data],10)&lt;=TEXT($V22,"dd/mm/yyyy"))*1)</f>
        <v/>
      </c>
    </row>
  </sheetData>
  <mergeCells count="2">
    <mergeCell ref="B3:K3"/>
    <mergeCell ref="B2:K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2026-05-25T16:55:56Z</dcterms:created>
  <dcterms:modified xsi:type="dcterms:W3CDTF">2026-05-25T16:55:56Z</dcterms:modified>
</cp:coreProperties>
</file>