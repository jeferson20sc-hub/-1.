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🟢 Primeira" sheetId="2" state="visible" r:id="rId2"/>
    <sheet name="🟡 01" sheetId="3" state="visible" r:id="rId3"/>
    <sheet name="🔴 02" sheetId="4" state="visible" r:id="rId4"/>
    <sheet name="📅 CALEND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R$ #,##0"/>
  </numFmts>
  <fonts count="36">
    <font>
      <name val="Calibri"/>
      <family val="2"/>
      <color theme="1"/>
      <sz val="11"/>
      <scheme val="minor"/>
    </font>
    <font>
      <name val="Calibri"/>
      <b val="1"/>
      <color rgb="00009B3A"/>
      <sz val="18"/>
    </font>
    <font>
      <name val="Calibri"/>
      <color rgb="00FFD700"/>
      <sz val="10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i val="1"/>
      <color rgb="00C8F5DB"/>
      <sz val="8"/>
    </font>
    <font>
      <name val="Calibri"/>
      <b val="1"/>
      <color rgb="00000000"/>
      <sz val="14"/>
    </font>
    <font>
      <name val="Calibri"/>
      <b val="1"/>
      <color rgb="00FFD7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009B3A"/>
      <sz val="10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FFD700"/>
      <sz val="12"/>
    </font>
    <font>
      <name val="Calibri"/>
      <b val="1"/>
      <color rgb="00009B3A"/>
      <sz val="22"/>
    </font>
    <font>
      <name val="Calibri"/>
      <i val="1"/>
      <color rgb="00D6F5E3"/>
      <sz val="9"/>
    </font>
    <font>
      <name val="Calibri"/>
      <b val="1"/>
      <color rgb="00FFFFFF"/>
      <sz val="8"/>
    </font>
    <font>
      <name val="Calibri"/>
      <b val="1"/>
      <color rgb="00FFFBD0"/>
      <sz val="9"/>
    </font>
    <font>
      <name val="Calibri"/>
      <color rgb="00D6F5E3"/>
      <sz val="9"/>
    </font>
    <font>
      <name val="Calibri"/>
      <color rgb="00FFECEC"/>
      <sz val="9"/>
    </font>
    <font>
      <name val="Calibri"/>
      <b val="1"/>
      <color rgb="00FFECEC"/>
      <sz val="9"/>
    </font>
    <font>
      <b val="1"/>
      <color rgb="00FFFFFF"/>
    </font>
    <font>
      <name val="Segoe UI"/>
      <b val="1"/>
      <color rgb="00FFFFFF"/>
      <sz val="22"/>
    </font>
    <font>
      <name val="Segoe UI"/>
      <i val="1"/>
      <color rgb="00333333"/>
      <sz val="11"/>
    </font>
    <font>
      <name val="Segoe UI"/>
      <b val="1"/>
      <color rgb="00FFFFFF"/>
      <sz val="10"/>
    </font>
    <font>
      <name val="Segoe UI"/>
      <b val="1"/>
      <color rgb="00555555"/>
      <sz val="9"/>
    </font>
    <font>
      <name val="Segoe UI"/>
      <b val="1"/>
      <color rgb="001B1B1B"/>
      <sz val="14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1FAE4D"/>
      <sz val="14"/>
    </font>
    <font>
      <name val="Segoe UI"/>
      <b val="1"/>
      <color rgb="001B1B1B"/>
      <sz val="12"/>
    </font>
    <font>
      <name val="Segoe UI"/>
      <i val="1"/>
      <color rgb="00FFFFFF"/>
      <sz val="10"/>
    </font>
  </fonts>
  <fills count="22">
    <fill>
      <patternFill/>
    </fill>
    <fill>
      <patternFill patternType="gray125"/>
    </fill>
    <fill>
      <patternFill patternType="solid"/>
    </fill>
    <fill>
      <patternFill patternType="solid">
        <fgColor rgb="00009B3A"/>
      </patternFill>
    </fill>
    <fill>
      <patternFill patternType="solid">
        <fgColor rgb="00FFD700"/>
      </patternFill>
    </fill>
    <fill>
      <patternFill patternType="solid">
        <fgColor rgb="00CC0000"/>
      </patternFill>
    </fill>
    <fill>
      <patternFill patternType="solid">
        <fgColor rgb="00141414"/>
      </patternFill>
    </fill>
    <fill>
      <patternFill patternType="solid">
        <fgColor rgb="00006B28"/>
      </patternFill>
    </fill>
    <fill>
      <patternFill patternType="solid">
        <fgColor rgb="00C8A400"/>
      </patternFill>
    </fill>
    <fill>
      <patternFill patternType="solid">
        <fgColor rgb="008B0000"/>
      </patternFill>
    </fill>
    <fill>
      <patternFill patternType="solid">
        <fgColor rgb="000D2010"/>
      </patternFill>
    </fill>
    <fill>
      <patternFill patternType="solid">
        <fgColor rgb="00080808"/>
      </patternFill>
    </fill>
    <fill>
      <patternFill patternType="solid">
        <fgColor rgb="000D1A0D"/>
      </patternFill>
    </fill>
    <fill>
      <patternFill patternType="solid">
        <fgColor rgb="001A0000"/>
      </patternFill>
    </fill>
    <fill>
      <patternFill patternType="solid">
        <fgColor rgb="001B1B1B"/>
      </patternFill>
    </fill>
    <fill>
      <patternFill patternType="solid">
        <fgColor rgb="001FAE4D"/>
      </patternFill>
    </fill>
    <fill>
      <patternFill patternType="solid">
        <fgColor rgb="00FFF8E7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4C81E"/>
      </patternFill>
    </fill>
    <fill>
      <patternFill patternType="solid">
        <fgColor rgb="00D4322B"/>
      </patternFill>
    </fill>
    <fill>
      <patternFill patternType="solid">
        <fgColor rgb="00333333"/>
      </patternFill>
    </fill>
  </fills>
  <borders count="29">
    <border>
      <left/>
      <right/>
      <top/>
      <bottom/>
      <diagonal/>
    </border>
    <border>
      <left style="medium">
        <color rgb="00009B3A"/>
      </left>
      <right style="thin">
        <color rgb="00009B3A"/>
      </right>
      <top style="medium">
        <color rgb="00009B3A"/>
      </top>
      <bottom style="thin">
        <color rgb="00009B3A"/>
      </bottom>
    </border>
    <border>
      <left style="thin">
        <color rgb="00009B3A"/>
      </left>
      <right style="thin">
        <color rgb="00009B3A"/>
      </right>
      <top style="medium">
        <color rgb="00009B3A"/>
      </top>
      <bottom style="thin">
        <color rgb="00009B3A"/>
      </bottom>
    </border>
    <border>
      <left style="thin">
        <color rgb="00009B3A"/>
      </left>
      <right style="medium">
        <color rgb="00009B3A"/>
      </right>
      <top style="medium">
        <color rgb="00009B3A"/>
      </top>
      <bottom style="thin">
        <color rgb="00009B3A"/>
      </bottom>
    </border>
    <border>
      <left style="medium">
        <color rgb="00009B3A"/>
      </left>
      <right style="thin">
        <color rgb="00009B3A"/>
      </right>
      <top style="thin">
        <color rgb="00009B3A"/>
      </top>
      <bottom style="thin">
        <color rgb="00009B3A"/>
      </bottom>
    </border>
    <border>
      <left style="thin">
        <color rgb="00009B3A"/>
      </left>
      <right style="thin">
        <color rgb="00009B3A"/>
      </right>
      <top style="thin">
        <color rgb="00009B3A"/>
      </top>
      <bottom style="thin">
        <color rgb="00009B3A"/>
      </bottom>
    </border>
    <border>
      <left style="thin">
        <color rgb="00009B3A"/>
      </left>
      <right style="medium">
        <color rgb="00009B3A"/>
      </right>
      <top style="thin">
        <color rgb="00009B3A"/>
      </top>
      <bottom style="thin">
        <color rgb="00009B3A"/>
      </bottom>
    </border>
    <border>
      <left style="medium">
        <color rgb="00009B3A"/>
      </left>
      <right style="thin">
        <color rgb="00009B3A"/>
      </right>
      <top style="thin">
        <color rgb="00009B3A"/>
      </top>
      <bottom style="medium">
        <color rgb="00009B3A"/>
      </bottom>
    </border>
    <border>
      <left style="thin">
        <color rgb="00009B3A"/>
      </left>
      <right style="thin">
        <color rgb="00009B3A"/>
      </right>
      <top style="thin">
        <color rgb="00009B3A"/>
      </top>
      <bottom style="medium">
        <color rgb="00009B3A"/>
      </bottom>
    </border>
    <border>
      <left style="thin">
        <color rgb="00009B3A"/>
      </left>
      <right style="medium">
        <color rgb="00009B3A"/>
      </right>
      <top style="thin">
        <color rgb="00009B3A"/>
      </top>
      <bottom style="medium">
        <color rgb="00009B3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6B28"/>
      </left>
      <right style="thin">
        <color rgb="00006B28"/>
      </right>
      <top style="thin">
        <color rgb="00006B28"/>
      </top>
      <bottom style="thin">
        <color rgb="00006B2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6B28"/>
      </left>
      <right style="medium">
        <color rgb="00006B28"/>
      </right>
      <top style="thin">
        <color rgb="00DDDDDD"/>
      </top>
      <bottom style="thin">
        <color rgb="00DDDDDD"/>
      </bottom>
    </border>
    <border>
      <left style="thin">
        <color rgb="00009B3A"/>
      </left>
      <right style="thin">
        <color rgb="00009B3A"/>
      </right>
      <top style="medium">
        <color rgb="00009B3A"/>
      </top>
      <bottom style="medium">
        <color rgb="00009B3A"/>
      </bottom>
    </border>
    <border>
      <bottom style="medium">
        <color rgb="00FFFFFF"/>
      </bottom>
    </border>
    <border>
      <left style="thin">
        <color rgb="00141414"/>
      </left>
      <right style="thin">
        <color rgb="00141414"/>
      </right>
      <top style="thin">
        <color rgb="00141414"/>
      </top>
      <bottom style="thin">
        <color rgb="00141414"/>
      </bottom>
    </border>
    <border>
      <left style="hair">
        <color rgb="00111111"/>
      </left>
      <right style="hair">
        <color rgb="00111111"/>
      </right>
      <top style="hair">
        <color rgb="00111111"/>
      </top>
      <bottom style="hair">
        <color rgb="00111111"/>
      </bottom>
    </border>
    <border>
      <left/>
      <right/>
      <top style="thin">
        <color rgb="00009B3A"/>
      </top>
      <bottom/>
      <diagonal/>
    </border>
    <border>
      <left/>
      <right style="thin">
        <color rgb="00009B3A"/>
      </right>
      <top style="thin">
        <color rgb="00009B3A"/>
      </top>
      <bottom/>
      <diagonal/>
    </border>
    <border>
      <left/>
      <right style="thin">
        <color rgb="00009B3A"/>
      </right>
      <top style="thin">
        <color rgb="00009B3A"/>
      </top>
      <bottom style="medium">
        <color rgb="00009B3A"/>
      </bottom>
      <diagonal/>
    </border>
    <border>
      <left/>
      <right/>
      <top style="medium">
        <color rgb="00009B3A"/>
      </top>
      <bottom/>
      <diagonal/>
    </border>
    <border>
      <left/>
      <right style="thin">
        <color rgb="00009B3A"/>
      </right>
      <top style="medium">
        <color rgb="00009B3A"/>
      </top>
      <bottom/>
      <diagonal/>
    </border>
    <border>
      <left/>
      <right/>
      <top style="medium">
        <color rgb="00009B3A"/>
      </top>
      <bottom style="medium">
        <color rgb="00009B3A"/>
      </bottom>
      <diagonal/>
    </border>
    <border>
      <left/>
      <right style="thin">
        <color rgb="00009B3A"/>
      </right>
      <top style="medium">
        <color rgb="00009B3A"/>
      </top>
      <bottom style="medium">
        <color rgb="00009B3A"/>
      </bottom>
      <diagonal/>
    </border>
    <border>
      <left/>
      <right style="thin">
        <color rgb="00009B3A"/>
      </right>
      <top style="thin">
        <color rgb="00009B3A"/>
      </top>
      <bottom style="thin">
        <color rgb="00009B3A"/>
      </bottom>
      <diagonal/>
    </border>
    <border>
      <left/>
      <right style="thin">
        <color rgb="00009B3A"/>
      </right>
      <top style="medium">
        <color rgb="00009B3A"/>
      </top>
      <bottom style="thin">
        <color rgb="00009B3A"/>
      </bottom>
      <diagonal/>
    </border>
    <border>
      <left/>
      <right/>
      <top/>
      <bottom style="medium">
        <color rgb="00FFFFFF"/>
      </bottom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0" fillId="6" borderId="3" pivotButton="0" quotePrefix="0" xfId="0"/>
    <xf numFmtId="164" fontId="4" fillId="7" borderId="4" applyAlignment="1" pivotButton="0" quotePrefix="0" xfId="0">
      <alignment horizontal="center" vertical="center"/>
    </xf>
    <xf numFmtId="0" fontId="0" fillId="0" borderId="5" pivotButton="0" quotePrefix="0" xfId="0"/>
    <xf numFmtId="164" fontId="4" fillId="3" borderId="5" applyAlignment="1" pivotButton="0" quotePrefix="0" xfId="0">
      <alignment horizontal="center" vertical="center"/>
    </xf>
    <xf numFmtId="164" fontId="4" fillId="8" borderId="5" applyAlignment="1" pivotButton="0" quotePrefix="0" xfId="0">
      <alignment horizontal="center" vertical="center"/>
    </xf>
    <xf numFmtId="164" fontId="4" fillId="9" borderId="5" applyAlignment="1" pivotButton="0" quotePrefix="0" xfId="0">
      <alignment horizontal="center" vertical="center"/>
    </xf>
    <xf numFmtId="0" fontId="0" fillId="6" borderId="6" pivotButton="0" quotePrefix="0" xfId="0"/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0" fillId="0" borderId="8" pivotButton="0" quotePrefix="0" xfId="0"/>
    <xf numFmtId="165" fontId="4" fillId="3" borderId="8" applyAlignment="1" pivotButton="0" quotePrefix="0" xfId="0">
      <alignment horizontal="center" vertical="center"/>
    </xf>
    <xf numFmtId="164" fontId="4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0" fillId="6" borderId="9" pivotButton="0" quotePrefix="0" xfId="0"/>
    <xf numFmtId="0" fontId="6" fillId="7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right" vertical="center"/>
    </xf>
    <xf numFmtId="9" fontId="7" fillId="3" borderId="0" applyAlignment="1" applyProtection="1" pivotButton="0" quotePrefix="0" xfId="0">
      <alignment horizontal="center" vertical="center"/>
      <protection locked="0" hidden="0"/>
    </xf>
    <xf numFmtId="0" fontId="9" fillId="3" borderId="10" applyAlignment="1" pivotButton="0" quotePrefix="0" xfId="0">
      <alignment horizontal="center" vertical="center"/>
    </xf>
    <xf numFmtId="166" fontId="10" fillId="3" borderId="10" applyAlignment="1" pivotButton="0" quotePrefix="0" xfId="0">
      <alignment horizontal="center" vertical="center"/>
    </xf>
    <xf numFmtId="165" fontId="10" fillId="3" borderId="1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9" fontId="4" fillId="8" borderId="0" applyAlignment="1" applyProtection="1" pivotButton="0" quotePrefix="0" xfId="0">
      <alignment horizontal="center" vertical="center"/>
      <protection locked="0" hidden="0"/>
    </xf>
    <xf numFmtId="0" fontId="11" fillId="8" borderId="10" applyAlignment="1" pivotButton="0" quotePrefix="0" xfId="0">
      <alignment horizontal="center" vertical="center"/>
    </xf>
    <xf numFmtId="166" fontId="12" fillId="8" borderId="10" applyAlignment="1" pivotButton="0" quotePrefix="0" xfId="0">
      <alignment horizontal="center" vertical="center"/>
    </xf>
    <xf numFmtId="165" fontId="12" fillId="8" borderId="10" applyAlignment="1" pivotButton="0" quotePrefix="0" xfId="0">
      <alignment horizontal="center" vertical="center"/>
    </xf>
    <xf numFmtId="0" fontId="12" fillId="8" borderId="10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166" fontId="10" fillId="9" borderId="10" applyAlignment="1" pivotButton="0" quotePrefix="0" xfId="0">
      <alignment horizontal="center" vertical="center"/>
    </xf>
    <xf numFmtId="165" fontId="10" fillId="9" borderId="10" applyAlignment="1" pivotButton="0" quotePrefix="0" xfId="0">
      <alignment horizontal="center" vertical="center"/>
    </xf>
    <xf numFmtId="0" fontId="10" fillId="9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0" borderId="12" applyAlignment="1" pivotButton="0" quotePrefix="0" xfId="0">
      <alignment horizontal="left" vertical="center"/>
    </xf>
    <xf numFmtId="3" fontId="12" fillId="0" borderId="13" applyAlignment="1" applyProtection="1" pivotButton="0" quotePrefix="0" xfId="0">
      <alignment horizontal="center" vertical="center"/>
      <protection locked="0" hidden="0"/>
    </xf>
    <xf numFmtId="164" fontId="12" fillId="0" borderId="13" applyAlignment="1" applyProtection="1" pivotButton="0" quotePrefix="0" xfId="0">
      <alignment horizontal="right" vertical="center"/>
      <protection locked="0" hidden="0"/>
    </xf>
    <xf numFmtId="164" fontId="12" fillId="0" borderId="12" applyAlignment="1" pivotButton="0" quotePrefix="0" xfId="0">
      <alignment horizontal="right" vertical="center"/>
    </xf>
    <xf numFmtId="10" fontId="16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3" fontId="14" fillId="2" borderId="14" applyAlignment="1" pivotButton="0" quotePrefix="0" xfId="0">
      <alignment horizontal="center" vertical="center"/>
    </xf>
    <xf numFmtId="0" fontId="0" fillId="2" borderId="14" pivotButton="0" quotePrefix="0" xfId="0"/>
    <xf numFmtId="164" fontId="14" fillId="3" borderId="14" applyAlignment="1" pivotButton="0" quotePrefix="0" xfId="0">
      <alignment horizontal="right" vertical="center"/>
    </xf>
    <xf numFmtId="9" fontId="14" fillId="2" borderId="14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19" fillId="10" borderId="0" applyAlignment="1" pivotButton="0" quotePrefix="0" xfId="0">
      <alignment horizontal="left" vertical="center"/>
    </xf>
    <xf numFmtId="0" fontId="10" fillId="7" borderId="15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20" fillId="7" borderId="16" applyAlignment="1" pivotButton="0" quotePrefix="0" xfId="0">
      <alignment horizontal="center" vertical="center"/>
    </xf>
    <xf numFmtId="0" fontId="20" fillId="9" borderId="16" applyAlignment="1" pivotButton="0" quotePrefix="0" xfId="0">
      <alignment horizontal="center" vertical="center"/>
    </xf>
    <xf numFmtId="0" fontId="0" fillId="11" borderId="0" pivotButton="0" quotePrefix="0" xfId="0"/>
    <xf numFmtId="0" fontId="21" fillId="7" borderId="17" applyAlignment="1" pivotButton="0" quotePrefix="0" xfId="0">
      <alignment horizontal="center" vertical="center"/>
    </xf>
    <xf numFmtId="0" fontId="22" fillId="12" borderId="17" applyAlignment="1" pivotButton="0" quotePrefix="0" xfId="0">
      <alignment horizontal="center" vertical="center"/>
    </xf>
    <xf numFmtId="0" fontId="23" fillId="13" borderId="17" applyAlignment="1" pivotButton="0" quotePrefix="0" xfId="0">
      <alignment horizontal="center" vertical="center"/>
    </xf>
    <xf numFmtId="0" fontId="24" fillId="13" borderId="17" applyAlignment="1" pivotButton="0" quotePrefix="0" xfId="0">
      <alignment horizontal="center" vertical="center"/>
    </xf>
    <xf numFmtId="0" fontId="10" fillId="9" borderId="15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26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27" fillId="16" borderId="0" applyAlignment="1" pivotButton="0" quotePrefix="0" xfId="0">
      <alignment horizontal="center" vertical="center"/>
    </xf>
    <xf numFmtId="0" fontId="28" fillId="15" borderId="0" applyAlignment="1" pivotButton="0" quotePrefix="0" xfId="0">
      <alignment horizontal="left" vertical="center" indent="1"/>
    </xf>
    <xf numFmtId="0" fontId="29" fillId="17" borderId="12" applyAlignment="1" pivotButton="0" quotePrefix="0" xfId="0">
      <alignment horizontal="center" vertical="center"/>
    </xf>
    <xf numFmtId="1" fontId="30" fillId="18" borderId="12" applyAlignment="1" pivotButton="0" quotePrefix="0" xfId="0">
      <alignment horizontal="center" vertical="center"/>
    </xf>
    <xf numFmtId="166" fontId="30" fillId="18" borderId="12" applyAlignment="1" pivotButton="0" quotePrefix="0" xfId="0">
      <alignment horizontal="center" vertical="center"/>
    </xf>
    <xf numFmtId="165" fontId="30" fillId="18" borderId="12" applyAlignment="1" pivotButton="0" quotePrefix="0" xfId="0">
      <alignment horizontal="center" vertical="center"/>
    </xf>
    <xf numFmtId="0" fontId="28" fillId="19" borderId="0" applyAlignment="1" pivotButton="0" quotePrefix="0" xfId="0">
      <alignment horizontal="left" vertical="center" indent="1"/>
    </xf>
    <xf numFmtId="0" fontId="0" fillId="19" borderId="0" pivotButton="0" quotePrefix="0" xfId="0"/>
    <xf numFmtId="0" fontId="28" fillId="20" borderId="0" applyAlignment="1" pivotButton="0" quotePrefix="0" xfId="0">
      <alignment horizontal="left" vertical="center" indent="1"/>
    </xf>
    <xf numFmtId="0" fontId="0" fillId="20" borderId="0" pivotButton="0" quotePrefix="0" xfId="0"/>
    <xf numFmtId="0" fontId="31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32" fillId="21" borderId="28" applyAlignment="1" pivotButton="0" quotePrefix="0" xfId="0">
      <alignment horizontal="center" vertical="center"/>
    </xf>
    <xf numFmtId="1" fontId="33" fillId="18" borderId="28" applyAlignment="1" pivotButton="0" quotePrefix="0" xfId="0">
      <alignment horizontal="center" vertical="center"/>
    </xf>
    <xf numFmtId="166" fontId="33" fillId="18" borderId="28" applyAlignment="1" pivotButton="0" quotePrefix="0" xfId="0">
      <alignment horizontal="center" vertical="center"/>
    </xf>
    <xf numFmtId="0" fontId="34" fillId="0" borderId="0" pivotButton="0" quotePrefix="0" xfId="0"/>
    <xf numFmtId="166" fontId="0" fillId="0" borderId="0" pivotButton="0" quotePrefix="0" xfId="0"/>
    <xf numFmtId="0" fontId="35" fillId="15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5" pivotButton="0" quotePrefix="0" xfId="0"/>
    <xf numFmtId="0" fontId="0" fillId="0" borderId="20" pivotButton="0" quotePrefix="0" xfId="0"/>
    <xf numFmtId="0" fontId="25" fillId="14" borderId="0" applyAlignment="1" pivotButton="0" quotePrefix="0" xfId="0">
      <alignment horizontal="center" vertical="center"/>
    </xf>
    <xf numFmtId="165" fontId="16" fillId="0" borderId="12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</cellXfs>
  <cellStyles count="1">
    <cellStyle name="Normal" xfId="0" builtinId="0" hidden="0"/>
  </cellStyles>
  <dxfs count="9">
    <dxf>
      <font>
        <color rgb="00000000"/>
      </font>
      <fill>
        <patternFill patternType="solid">
          <fgColor rgb="00D6F5E3"/>
        </patternFill>
      </fill>
    </dxf>
    <dxf>
      <font>
        <color rgb="00000000"/>
      </font>
      <fill>
        <patternFill patternType="solid">
          <fgColor rgb="00FFFBD0"/>
        </patternFill>
      </fill>
    </dxf>
    <dxf>
      <font>
        <color rgb="00000000"/>
      </font>
      <fill>
        <patternFill patternType="solid">
          <fgColor rgb="00FFECEC"/>
        </patternFill>
      </fill>
    </dxf>
    <dxf>
      <font>
        <b val="1"/>
        <color rgb="00FFFFFF"/>
        <sz val="12"/>
      </font>
      <fill>
        <patternFill patternType="solid">
          <fgColor rgb="00009B3A"/>
        </patternFill>
      </fill>
    </dxf>
    <dxf>
      <font>
        <b val="1"/>
        <color rgb="00000000"/>
        <sz val="12"/>
      </font>
      <fill>
        <patternFill patternType="solid">
          <fgColor rgb="00C8A400"/>
        </patternFill>
      </fill>
    </dxf>
    <dxf>
      <font>
        <b val="1"/>
        <color rgb="00FFFFFF"/>
        <sz val="12"/>
      </font>
      <fill>
        <patternFill patternType="solid">
          <fgColor rgb="008B0000"/>
        </patternFill>
      </fill>
    </dxf>
    <dxf>
      <fill>
        <patternFill patternType="solid">
          <fgColor rgb="009FE3A5"/>
        </patternFill>
      </fill>
    </dxf>
    <dxf>
      <fill>
        <patternFill patternType="solid">
          <fgColor rgb="00FFE066"/>
        </patternFill>
      </fill>
    </dxf>
    <dxf>
      <fill>
        <patternFill patternType="solid">
          <fgColor rgb="00FFB07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V.T. por Classe (consolidado)</a:t>
            </a:r>
          </a:p>
        </rich>
      </tx>
    </title>
    <plotArea>
      <pieChart>
        <varyColors val="1"/>
        <ser>
          <idx val="0"/>
          <order val="0"/>
          <tx>
            <strRef>
              <f>'🏠 DASHBOARD'!L22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AE4D"/>
              </a:solidFill>
              <a:ln>
                <a:prstDash val="solid"/>
              </a:ln>
            </spPr>
          </dPt>
          <dPt>
            <idx val="1"/>
            <spPr>
              <a:solidFill>
                <a:srgbClr val="F4C81E"/>
              </a:solidFill>
              <a:ln>
                <a:prstDash val="solid"/>
              </a:ln>
            </spPr>
          </dPt>
          <dPt>
            <idx val="2"/>
            <spPr>
              <a:solidFill>
                <a:srgbClr val="D4322B"/>
              </a:solidFill>
              <a:ln>
                <a:prstDash val="solid"/>
              </a:ln>
            </spPr>
          </dPt>
          <cat>
            <numRef>
              <f>'🏠 DASHBOARD'!$K$23:$K$25</f>
            </numRef>
          </cat>
          <val>
            <numRef>
              <f>'🏠 DASHBOARD'!$L$23:$L$25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ABC</a:t>
            </a:r>
          </a:p>
        </rich>
      </tx>
    </title>
    <plotArea>
      <areaChart>
        <grouping val="standard"/>
        <ser>
          <idx val="0"/>
          <order val="0"/>
          <tx>
            <strRef>
              <f>'🟢 Primeira'!AA11</f>
            </strRef>
          </tx>
          <spPr>
            <a:solidFill>
              <a:srgbClr val="FFB07A"/>
            </a:solidFill>
            <a:ln>
              <a:noFill/>
              <a:prstDash val="solid"/>
            </a:ln>
          </spPr>
          <cat>
            <numRef>
              <f>'🟢 Primeira'!$Q$12:$Q$21</f>
            </numRef>
          </cat>
          <val>
            <numRef>
              <f>'🟢 Primeira'!$AA$12:$AA$21</f>
            </numRef>
          </val>
        </ser>
        <ser>
          <idx val="1"/>
          <order val="1"/>
          <tx>
            <strRef>
              <f>'🟢 Primeira'!Z11</f>
            </strRef>
          </tx>
          <spPr>
            <a:solidFill>
              <a:srgbClr val="FFE066"/>
            </a:solidFill>
            <a:ln>
              <a:noFill/>
              <a:prstDash val="solid"/>
            </a:ln>
          </spPr>
          <cat>
            <numRef>
              <f>'🟢 Primeira'!$Q$12:$Q$21</f>
            </numRef>
          </cat>
          <val>
            <numRef>
              <f>'🟢 Primeira'!$Z$12:$Z$21</f>
            </numRef>
          </val>
        </ser>
        <ser>
          <idx val="2"/>
          <order val="2"/>
          <tx>
            <strRef>
              <f>'🟢 Primeira'!Y11</f>
            </strRef>
          </tx>
          <spPr>
            <a:solidFill>
              <a:srgbClr val="9FE3A5"/>
            </a:solidFill>
            <a:ln>
              <a:noFill/>
              <a:prstDash val="solid"/>
            </a:ln>
          </spPr>
          <cat>
            <numRef>
              <f>'🟢 Primeira'!$Q$12:$Q$21</f>
            </numRef>
          </cat>
          <val>
            <numRef>
              <f>'🟢 Primeira'!$Y$12:$Y$21</f>
            </numRef>
          </val>
        </ser>
        <axId val="10"/>
        <axId val="100"/>
      </areaChart>
      <barChart>
        <barDir val="col"/>
        <grouping val="stacked"/>
        <ser>
          <idx val="3"/>
          <order val="3"/>
          <tx>
            <strRef>
              <f>'🟢 Primeira'!V11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'🟢 Primeira'!$Q$12:$Q$21</f>
            </numRef>
          </cat>
          <val>
            <numRef>
              <f>'🟢 Primeira'!$V$12:$V$21</f>
            </numRef>
          </val>
        </ser>
        <ser>
          <idx val="4"/>
          <order val="4"/>
          <tx>
            <strRef>
              <f>'🟢 Primeira'!W11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'🟢 Primeira'!$Q$12:$Q$21</f>
            </numRef>
          </cat>
          <val>
            <numRef>
              <f>'🟢 Primeira'!$W$12:$W$21</f>
            </numRef>
          </val>
        </ser>
        <ser>
          <idx val="5"/>
          <order val="5"/>
          <tx>
            <strRef>
              <f>'🟢 Primeira'!X11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'🟢 Primeira'!$Q$12:$Q$21</f>
            </numRef>
          </cat>
          <val>
            <numRef>
              <f>'🟢 Primeira'!$X$12:$X$21</f>
            </numRef>
          </val>
        </ser>
        <gapWidth val="60"/>
        <overlap val="100"/>
        <axId val="10"/>
        <axId val="100"/>
      </barChart>
      <lineChart>
        <grouping val="standard"/>
        <ser>
          <idx val="6"/>
          <order val="6"/>
          <tx>
            <strRef>
              <f>'🟢 Primeira'!T11</f>
            </strRef>
          </tx>
          <spPr>
            <a:ln w="4445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'🟢 Primeira'!$T$12:$T$21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out"/>
        <minorTickMark val="none"/>
        <crossAx val="10"/>
        <majorUnit val="0.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ABC</a:t>
            </a:r>
          </a:p>
        </rich>
      </tx>
    </title>
    <plotArea>
      <areaChart>
        <grouping val="standard"/>
        <ser>
          <idx val="0"/>
          <order val="0"/>
          <tx>
            <strRef>
              <f>'🟡 01'!AA11</f>
            </strRef>
          </tx>
          <spPr>
            <a:solidFill>
              <a:srgbClr val="FFB07A"/>
            </a:solidFill>
            <a:ln>
              <a:noFill/>
              <a:prstDash val="solid"/>
            </a:ln>
          </spPr>
          <cat>
            <numRef>
              <f>'🟡 01'!$Q$12:$Q$31</f>
            </numRef>
          </cat>
          <val>
            <numRef>
              <f>'🟡 01'!$AA$12:$AA$31</f>
            </numRef>
          </val>
        </ser>
        <ser>
          <idx val="1"/>
          <order val="1"/>
          <tx>
            <strRef>
              <f>'🟡 01'!Z11</f>
            </strRef>
          </tx>
          <spPr>
            <a:solidFill>
              <a:srgbClr val="FFE066"/>
            </a:solidFill>
            <a:ln>
              <a:noFill/>
              <a:prstDash val="solid"/>
            </a:ln>
          </spPr>
          <cat>
            <numRef>
              <f>'🟡 01'!$Q$12:$Q$31</f>
            </numRef>
          </cat>
          <val>
            <numRef>
              <f>'🟡 01'!$Z$12:$Z$31</f>
            </numRef>
          </val>
        </ser>
        <ser>
          <idx val="2"/>
          <order val="2"/>
          <tx>
            <strRef>
              <f>'🟡 01'!Y11</f>
            </strRef>
          </tx>
          <spPr>
            <a:solidFill>
              <a:srgbClr val="9FE3A5"/>
            </a:solidFill>
            <a:ln>
              <a:noFill/>
              <a:prstDash val="solid"/>
            </a:ln>
          </spPr>
          <cat>
            <numRef>
              <f>'🟡 01'!$Q$12:$Q$31</f>
            </numRef>
          </cat>
          <val>
            <numRef>
              <f>'🟡 01'!$Y$12:$Y$31</f>
            </numRef>
          </val>
        </ser>
        <axId val="10"/>
        <axId val="100"/>
      </areaChart>
      <barChart>
        <barDir val="col"/>
        <grouping val="stacked"/>
        <ser>
          <idx val="3"/>
          <order val="3"/>
          <tx>
            <strRef>
              <f>'🟡 01'!V11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'🟡 01'!$Q$12:$Q$31</f>
            </numRef>
          </cat>
          <val>
            <numRef>
              <f>'🟡 01'!$V$12:$V$31</f>
            </numRef>
          </val>
        </ser>
        <ser>
          <idx val="4"/>
          <order val="4"/>
          <tx>
            <strRef>
              <f>'🟡 01'!W11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'🟡 01'!$Q$12:$Q$31</f>
            </numRef>
          </cat>
          <val>
            <numRef>
              <f>'🟡 01'!$W$12:$W$31</f>
            </numRef>
          </val>
        </ser>
        <ser>
          <idx val="5"/>
          <order val="5"/>
          <tx>
            <strRef>
              <f>'🟡 01'!X11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'🟡 01'!$Q$12:$Q$31</f>
            </numRef>
          </cat>
          <val>
            <numRef>
              <f>'🟡 01'!$X$12:$X$31</f>
            </numRef>
          </val>
        </ser>
        <gapWidth val="60"/>
        <overlap val="100"/>
        <axId val="10"/>
        <axId val="100"/>
      </barChart>
      <lineChart>
        <grouping val="standard"/>
        <ser>
          <idx val="6"/>
          <order val="6"/>
          <tx>
            <strRef>
              <f>'🟡 01'!T11</f>
            </strRef>
          </tx>
          <spPr>
            <a:ln w="4445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'🟡 01'!$T$12:$T$31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out"/>
        <minorTickMark val="none"/>
        <crossAx val="10"/>
        <majorUnit val="0.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ABC</a:t>
            </a:r>
          </a:p>
        </rich>
      </tx>
    </title>
    <plotArea>
      <areaChart>
        <grouping val="standard"/>
        <ser>
          <idx val="0"/>
          <order val="0"/>
          <tx>
            <strRef>
              <f>'🔴 02'!AA11</f>
            </strRef>
          </tx>
          <spPr>
            <a:solidFill>
              <a:srgbClr val="FFB07A"/>
            </a:solidFill>
            <a:ln>
              <a:noFill/>
              <a:prstDash val="solid"/>
            </a:ln>
          </spPr>
          <cat>
            <numRef>
              <f>'🔴 02'!$Q$12:$Q$41</f>
            </numRef>
          </cat>
          <val>
            <numRef>
              <f>'🔴 02'!$AA$12:$AA$41</f>
            </numRef>
          </val>
        </ser>
        <ser>
          <idx val="1"/>
          <order val="1"/>
          <tx>
            <strRef>
              <f>'🔴 02'!Z11</f>
            </strRef>
          </tx>
          <spPr>
            <a:solidFill>
              <a:srgbClr val="FFE066"/>
            </a:solidFill>
            <a:ln>
              <a:noFill/>
              <a:prstDash val="solid"/>
            </a:ln>
          </spPr>
          <cat>
            <numRef>
              <f>'🔴 02'!$Q$12:$Q$41</f>
            </numRef>
          </cat>
          <val>
            <numRef>
              <f>'🔴 02'!$Z$12:$Z$41</f>
            </numRef>
          </val>
        </ser>
        <ser>
          <idx val="2"/>
          <order val="2"/>
          <tx>
            <strRef>
              <f>'🔴 02'!Y11</f>
            </strRef>
          </tx>
          <spPr>
            <a:solidFill>
              <a:srgbClr val="9FE3A5"/>
            </a:solidFill>
            <a:ln>
              <a:noFill/>
              <a:prstDash val="solid"/>
            </a:ln>
          </spPr>
          <cat>
            <numRef>
              <f>'🔴 02'!$Q$12:$Q$41</f>
            </numRef>
          </cat>
          <val>
            <numRef>
              <f>'🔴 02'!$Y$12:$Y$41</f>
            </numRef>
          </val>
        </ser>
        <axId val="10"/>
        <axId val="100"/>
      </areaChart>
      <barChart>
        <barDir val="col"/>
        <grouping val="stacked"/>
        <ser>
          <idx val="3"/>
          <order val="3"/>
          <tx>
            <strRef>
              <f>'🔴 02'!V11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'🔴 02'!$Q$12:$Q$41</f>
            </numRef>
          </cat>
          <val>
            <numRef>
              <f>'🔴 02'!$V$12:$V$41</f>
            </numRef>
          </val>
        </ser>
        <ser>
          <idx val="4"/>
          <order val="4"/>
          <tx>
            <strRef>
              <f>'🔴 02'!W11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'🔴 02'!$Q$12:$Q$41</f>
            </numRef>
          </cat>
          <val>
            <numRef>
              <f>'🔴 02'!$W$12:$W$41</f>
            </numRef>
          </val>
        </ser>
        <ser>
          <idx val="5"/>
          <order val="5"/>
          <tx>
            <strRef>
              <f>'🔴 02'!X11</f>
            </strRef>
          </tx>
          <spPr>
            <a:solidFill>
              <a:srgbClr val="3FB3E5"/>
            </a:solidFill>
            <a:ln w="6000">
              <a:solidFill>
                <a:srgbClr val="1A78A0"/>
              </a:solidFill>
              <a:prstDash val="solid"/>
            </a:ln>
          </spPr>
          <dLbls>
            <dLblPos val="t"/>
            <showSerName val="1"/>
          </dLbls>
          <cat>
            <numRef>
              <f>'🔴 02'!$Q$12:$Q$41</f>
            </numRef>
          </cat>
          <val>
            <numRef>
              <f>'🔴 02'!$X$12:$X$41</f>
            </numRef>
          </val>
        </ser>
        <gapWidth val="60"/>
        <overlap val="100"/>
        <axId val="10"/>
        <axId val="100"/>
      </barChart>
      <lineChart>
        <grouping val="standard"/>
        <ser>
          <idx val="6"/>
          <order val="6"/>
          <tx>
            <strRef>
              <f>'🔴 02'!T11</f>
            </strRef>
          </tx>
          <spPr>
            <a:ln w="4445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'🔴 02'!$T$12:$T$41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out"/>
        <minorTickMark val="none"/>
        <crossAx val="10"/>
        <majorUnit val="0.1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Curva ABC Reggae</author>
    <author>Curva ABC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1" shapeId="0">
      <text>
        <t>Edite apenas as colunas E (Qtd.) e F (Custo Unit.).
V.T., % e Classe ABC sao recalculados automaticamente.</t>
      </text>
    </comment>
    <comment ref="F12" authorId="1" shapeId="0">
      <text>
        <t>Edite apenas as colunas E (Qtd.) e F (Custo Unit.).
V.T., % e Classe ABC sao recalculados automaticamente.</t>
      </text>
    </comment>
  </commentList>
</comments>
</file>

<file path=xl/comments/comment2.xml><?xml version="1.0" encoding="utf-8"?>
<comments xmlns="http://schemas.openxmlformats.org/spreadsheetml/2006/main">
  <authors>
    <author>Curva ABC Reggae</author>
    <author>Curva ABC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1" shapeId="0">
      <text>
        <t>Edite apenas as colunas E (Qtd.) e F (Custo Unit.).
V.T., % e Classe ABC sao recalculados automaticamente.</t>
      </text>
    </comment>
    <comment ref="F12" authorId="1" shapeId="0">
      <text>
        <t>Edite apenas as colunas E (Qtd.) e F (Custo Unit.).
V.T., % e Classe ABC sao recalculados automaticamente.</t>
      </text>
    </comment>
  </commentList>
</comments>
</file>

<file path=xl/comments/comment3.xml><?xml version="1.0" encoding="utf-8"?>
<comments xmlns="http://schemas.openxmlformats.org/spreadsheetml/2006/main">
  <authors>
    <author>Curva ABC Reggae</author>
    <author>Curva ABC</author>
  </authors>
  <commentList>
    <comment ref="B9" authorId="0" shapeId="0">
      <text>
        <t>EDITAVEL: Limite para Classe A
Padrao: 80% | Formato: decimal (ex: 0,80)
Intervalo valido: entre 0,50 e 0,99</t>
      </text>
    </comment>
    <comment ref="B10" authorId="0" shapeId="0">
      <text>
        <t>EDITAVEL: Limite para Classe B
Padrao: 95% | Formato: decimal (ex: 0,80)
Intervalo valido: entre 0,50 e 0,99</t>
      </text>
    </comment>
    <comment ref="E12" authorId="1" shapeId="0">
      <text>
        <t>Edite apenas as colunas E (Qtd.) e F (Custo Unit.).
V.T., % e Classe ABC sao recalculados automaticamente.</t>
      </text>
    </comment>
    <comment ref="F12" authorId="1" shapeId="0">
      <text>
        <t>Edite apenas as colunas E (Qtd.) e F (Custo Unit.).
V.T., % e Classe ABC sao recalculados automaticamente.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AE4D"/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2">
      <c r="B2" s="74" t="inlineStr">
        <is>
          <t>🏠 DASHBOARD ABC — One Love, One Excel 🌿</t>
        </is>
      </c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</row>
    <row r="3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</row>
    <row r="4">
      <c r="B4" s="76" t="inlineStr">
        <is>
          <t>Resumo consolidado das 3 curvas ABC  •  KPIs ao vivo  •  Visao por classe</t>
        </is>
      </c>
    </row>
    <row r="6" ht="20" customHeight="1">
      <c r="B6" s="77" t="inlineStr">
        <is>
          <t>📊  Primeira  —  intervalo 12:21</t>
        </is>
      </c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</row>
    <row r="7" ht="16" customHeight="1">
      <c r="B7" s="78" t="inlineStr">
        <is>
          <t>Total Itens</t>
        </is>
      </c>
      <c r="C7" s="78" t="inlineStr">
        <is>
          <t>V.T. Total</t>
        </is>
      </c>
      <c r="D7" s="78" t="inlineStr">
        <is>
          <t>V.T. Classe A</t>
        </is>
      </c>
      <c r="E7" s="78" t="inlineStr">
        <is>
          <t>V.T. Classe B</t>
        </is>
      </c>
      <c r="F7" s="78" t="inlineStr">
        <is>
          <t>V.T. Classe C</t>
        </is>
      </c>
      <c r="G7" s="78" t="inlineStr">
        <is>
          <t>Itens em A</t>
        </is>
      </c>
      <c r="H7" s="78" t="inlineStr">
        <is>
          <t>% Itens A</t>
        </is>
      </c>
      <c r="I7" s="78" t="inlineStr">
        <is>
          <t>Maior V.T.</t>
        </is>
      </c>
    </row>
    <row r="8" ht="26" customHeight="1">
      <c r="B8" s="79">
        <f>COUNTA('🟢 Primeira'!D12:D21)</f>
        <v/>
      </c>
      <c r="C8" s="80">
        <f>SUM('🟢 Primeira'!G12:G21)</f>
        <v/>
      </c>
      <c r="D8" s="80">
        <f>SUMIF('🟢 Primeira'!A12:A21,"A",'🟢 Primeira'!G12:G21)</f>
        <v/>
      </c>
      <c r="E8" s="80">
        <f>SUMIF('🟢 Primeira'!A12:A21,"B",'🟢 Primeira'!G12:G21)</f>
        <v/>
      </c>
      <c r="F8" s="80">
        <f>SUMIF('🟢 Primeira'!A12:A21,"C",'🟢 Primeira'!G12:G21)</f>
        <v/>
      </c>
      <c r="G8" s="79">
        <f>COUNTIF('🟢 Primeira'!A12:A21,"A")</f>
        <v/>
      </c>
      <c r="H8" s="81">
        <f>IFERROR(COUNTIF('🟢 Primeira'!A12:A21,"A")/COUNTA('🟢 Primeira'!D12:D21),0)</f>
        <v/>
      </c>
      <c r="I8" s="80">
        <f>MAX('🟢 Primeira'!G12:G21)</f>
        <v/>
      </c>
    </row>
    <row r="9" ht="20" customHeight="1">
      <c r="B9" s="82" t="inlineStr">
        <is>
          <t>📊  Aba 01  —  intervalo 12:31</t>
        </is>
      </c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</row>
    <row r="10" ht="16" customHeight="1">
      <c r="B10" s="78" t="inlineStr">
        <is>
          <t>Total Itens</t>
        </is>
      </c>
      <c r="C10" s="78" t="inlineStr">
        <is>
          <t>V.T. Total</t>
        </is>
      </c>
      <c r="D10" s="78" t="inlineStr">
        <is>
          <t>V.T. Classe A</t>
        </is>
      </c>
      <c r="E10" s="78" t="inlineStr">
        <is>
          <t>V.T. Classe B</t>
        </is>
      </c>
      <c r="F10" s="78" t="inlineStr">
        <is>
          <t>V.T. Classe C</t>
        </is>
      </c>
      <c r="G10" s="78" t="inlineStr">
        <is>
          <t>Itens em A</t>
        </is>
      </c>
      <c r="H10" s="78" t="inlineStr">
        <is>
          <t>% Itens A</t>
        </is>
      </c>
      <c r="I10" s="78" t="inlineStr">
        <is>
          <t>Maior V.T.</t>
        </is>
      </c>
    </row>
    <row r="11" ht="26" customHeight="1">
      <c r="B11" s="79">
        <f>COUNTA('🟡 01'!D12:D31)</f>
        <v/>
      </c>
      <c r="C11" s="80">
        <f>SUM('🟡 01'!G12:G31)</f>
        <v/>
      </c>
      <c r="D11" s="80">
        <f>SUMIF('🟡 01'!A12:A31,"A",'🟡 01'!G12:G31)</f>
        <v/>
      </c>
      <c r="E11" s="80">
        <f>SUMIF('🟡 01'!A12:A31,"B",'🟡 01'!G12:G31)</f>
        <v/>
      </c>
      <c r="F11" s="80">
        <f>SUMIF('🟡 01'!A12:A31,"C",'🟡 01'!G12:G31)</f>
        <v/>
      </c>
      <c r="G11" s="79">
        <f>COUNTIF('🟡 01'!A12:A31,"A")</f>
        <v/>
      </c>
      <c r="H11" s="81">
        <f>IFERROR(COUNTIF('🟡 01'!A12:A31,"A")/COUNTA('🟡 01'!D12:D31),0)</f>
        <v/>
      </c>
      <c r="I11" s="80">
        <f>MAX('🟡 01'!G12:G31)</f>
        <v/>
      </c>
    </row>
    <row r="12" ht="20" customHeight="1">
      <c r="B12" s="84" t="inlineStr">
        <is>
          <t>📊  Aba 02  —  intervalo 12:41</t>
        </is>
      </c>
      <c r="C12" s="85" t="n"/>
      <c r="D12" s="85" t="n"/>
      <c r="E12" s="85" t="n"/>
      <c r="F12" s="85" t="n"/>
      <c r="G12" s="85" t="n"/>
      <c r="H12" s="85" t="n"/>
      <c r="I12" s="85" t="n"/>
      <c r="J12" s="85" t="n"/>
      <c r="K12" s="85" t="n"/>
    </row>
    <row r="13" ht="16" customHeight="1">
      <c r="B13" s="78" t="inlineStr">
        <is>
          <t>Total Itens</t>
        </is>
      </c>
      <c r="C13" s="78" t="inlineStr">
        <is>
          <t>V.T. Total</t>
        </is>
      </c>
      <c r="D13" s="78" t="inlineStr">
        <is>
          <t>V.T. Classe A</t>
        </is>
      </c>
      <c r="E13" s="78" t="inlineStr">
        <is>
          <t>V.T. Classe B</t>
        </is>
      </c>
      <c r="F13" s="78" t="inlineStr">
        <is>
          <t>V.T. Classe C</t>
        </is>
      </c>
      <c r="G13" s="78" t="inlineStr">
        <is>
          <t>Itens em A</t>
        </is>
      </c>
      <c r="H13" s="78" t="inlineStr">
        <is>
          <t>% Itens A</t>
        </is>
      </c>
      <c r="I13" s="78" t="inlineStr">
        <is>
          <t>Maior V.T.</t>
        </is>
      </c>
    </row>
    <row r="14" ht="26" customHeight="1">
      <c r="B14" s="79">
        <f>COUNTA('🔴 02'!D12:D41)</f>
        <v/>
      </c>
      <c r="C14" s="80">
        <f>SUM('🔴 02'!G12:G41)</f>
        <v/>
      </c>
      <c r="D14" s="80">
        <f>SUMIF('🔴 02'!A12:A41,"A",'🔴 02'!G12:G41)</f>
        <v/>
      </c>
      <c r="E14" s="80">
        <f>SUMIF('🔴 02'!A12:A41,"B",'🔴 02'!G12:G41)</f>
        <v/>
      </c>
      <c r="F14" s="80">
        <f>SUMIF('🔴 02'!A12:A41,"C",'🔴 02'!G12:G41)</f>
        <v/>
      </c>
      <c r="G14" s="79">
        <f>COUNTIF('🔴 02'!A12:A41,"A")</f>
        <v/>
      </c>
      <c r="H14" s="81">
        <f>IFERROR(COUNTIF('🔴 02'!A12:A41,"A")/COUNTA('🔴 02'!D12:D41),0)</f>
        <v/>
      </c>
      <c r="I14" s="80">
        <f>MAX('🔴 02'!G12:G41)</f>
        <v/>
      </c>
    </row>
    <row r="16" ht="22" customHeight="1">
      <c r="B16" s="86" t="inlineStr">
        <is>
          <t>🌍 TOTAIS CONSOLIDADOS (3 abas somadas)</t>
        </is>
      </c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</row>
    <row r="17" ht="16" customHeight="1">
      <c r="B17" s="88" t="inlineStr">
        <is>
          <t>Total Itens</t>
        </is>
      </c>
      <c r="C17" s="88" t="inlineStr">
        <is>
          <t>V.T. Total</t>
        </is>
      </c>
      <c r="D17" s="88" t="inlineStr">
        <is>
          <t>V.T. Classe A</t>
        </is>
      </c>
      <c r="E17" s="88" t="inlineStr">
        <is>
          <t>V.T. Classe B</t>
        </is>
      </c>
      <c r="F17" s="88" t="inlineStr">
        <is>
          <t>V.T. Classe C</t>
        </is>
      </c>
      <c r="G17" s="88" t="inlineStr">
        <is>
          <t>Itens em A</t>
        </is>
      </c>
      <c r="H17" s="88" t="inlineStr">
        <is>
          <t>Itens em B</t>
        </is>
      </c>
      <c r="I17" s="88" t="inlineStr">
        <is>
          <t>Itens em C</t>
        </is>
      </c>
    </row>
    <row r="18" ht="28" customHeight="1">
      <c r="B18" s="89">
        <f>COUNTA('🟢 Primeira'!D12:D21)+COUNTA('🟡 01'!D12:D31)+COUNTA('🔴 02'!D12:D41)</f>
        <v/>
      </c>
      <c r="C18" s="90">
        <f>SUM('🟢 Primeira'!G12:G21)+SUM('🟡 01'!G12:G31)+SUM('🔴 02'!G12:G41)</f>
        <v/>
      </c>
      <c r="D18" s="90">
        <f>SUMIF('🟢 Primeira'!A12:A21,"A",'🟢 Primeira'!G12:G21)+SUMIF('🟡 01'!A12:A31,"A",'🟡 01'!G12:G31)+SUMIF('🔴 02'!A12:A41,"A",'🔴 02'!G12:G41)</f>
        <v/>
      </c>
      <c r="E18" s="90">
        <f>SUMIF('🟢 Primeira'!A12:A21,"B",'🟢 Primeira'!G12:G21)+SUMIF('🟡 01'!A12:A31,"B",'🟡 01'!G12:G31)+SUMIF('🔴 02'!A12:A41,"B",'🔴 02'!G12:G41)</f>
        <v/>
      </c>
      <c r="F18" s="90">
        <f>SUMIF('🟢 Primeira'!A12:A21,"C",'🟢 Primeira'!G12:G21)+SUMIF('🟡 01'!A12:A31,"C",'🟡 01'!G12:G31)+SUMIF('🔴 02'!A12:A41,"C",'🔴 02'!G12:G41)</f>
        <v/>
      </c>
      <c r="G18" s="89">
        <f>COUNTIF('🟢 Primeira'!A12:A21,"A")+COUNTIF('🟡 01'!A12:A31,"A")+COUNTIF('🔴 02'!A12:A41,"A")</f>
        <v/>
      </c>
      <c r="H18" s="89">
        <f>COUNTIF('🟢 Primeira'!A12:A21,"B")+COUNTIF('🟡 01'!A12:A31,"B")+COUNTIF('🔴 02'!A12:A41,"B")</f>
        <v/>
      </c>
      <c r="I18" s="89">
        <f>COUNTIF('🟢 Primeira'!A12:A21,"C")+COUNTIF('🟡 01'!A12:A31,"C")+COUNTIF('🔴 02'!A12:A41,"C")</f>
        <v/>
      </c>
    </row>
    <row r="21">
      <c r="B21" s="91" t="inlineStr">
        <is>
          <t>Distribuicao do V.T. consolidado por classe ABC</t>
        </is>
      </c>
    </row>
    <row r="22">
      <c r="K22" t="inlineStr">
        <is>
          <t>Classe</t>
        </is>
      </c>
      <c r="L22" s="92" t="inlineStr">
        <is>
          <t>V.T.</t>
        </is>
      </c>
    </row>
    <row r="23">
      <c r="K23" t="inlineStr">
        <is>
          <t>A</t>
        </is>
      </c>
      <c r="L23" s="92">
        <f>SUMIF('🟢 Primeira'!A12:A21,"A",'🟢 Primeira'!G12:G21)+SUMIF('🟡 01'!A12:A31,"A",'🟡 01'!G12:G31)+SUMIF('🔴 02'!A12:A41,"A",'🔴 02'!G12:G41)</f>
        <v/>
      </c>
    </row>
    <row r="24">
      <c r="K24" t="inlineStr">
        <is>
          <t>B</t>
        </is>
      </c>
      <c r="L24" s="92">
        <f>SUMIF('🟢 Primeira'!A12:A21,"B",'🟢 Primeira'!G12:G21)+SUMIF('🟡 01'!A12:A31,"B",'🟡 01'!G12:G31)+SUMIF('🔴 02'!A12:A41,"B",'🔴 02'!G12:G41)</f>
        <v/>
      </c>
    </row>
    <row r="25">
      <c r="K25" t="inlineStr">
        <is>
          <t>C</t>
        </is>
      </c>
      <c r="L25" s="92">
        <f>SUMIF('🟢 Primeira'!A12:A21,"C",'🟢 Primeira'!G12:G21)+SUMIF('🟡 01'!A12:A31,"C",'🟡 01'!G12:G31)+SUMIF('🔴 02'!A12:A41,"C",'🔴 02'!G12:G41)</f>
        <v/>
      </c>
    </row>
    <row r="43">
      <c r="B43" s="93" t="inlineStr">
        <is>
          <t>🌿  One Love, One Excel  •  Dashboard atualizado automaticamente com base nas 3 abas ABC.</t>
        </is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</row>
  </sheetData>
  <mergeCells count="7">
    <mergeCell ref="B4:K4"/>
    <mergeCell ref="B9:K9"/>
    <mergeCell ref="B43:K43"/>
    <mergeCell ref="B12:K12"/>
    <mergeCell ref="B6:K6"/>
    <mergeCell ref="B16:K16"/>
    <mergeCell ref="B2: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AE4D"/>
    <outlinePr summaryBelow="1" summaryRight="1"/>
    <pageSetUpPr/>
  </sheetPr>
  <dimension ref="A1:AC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11" customWidth="1" min="16" max="16"/>
    <col hidden="1" width="11" customWidth="1" min="17" max="17"/>
    <col hidden="1" width="11" customWidth="1" min="18" max="18"/>
    <col hidden="1" width="11" customWidth="1" min="19" max="19"/>
    <col hidden="1"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hidden="1" width="13" customWidth="1" min="28" max="28"/>
  </cols>
  <sheetData>
    <row r="1" ht="52" customHeight="1">
      <c r="A1" s="1" t="inlineStr">
        <is>
          <t xml:space="preserve">  CURVA ABC — PRIMEIRA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94" t="n"/>
      <c r="C3" s="9" t="inlineStr">
        <is>
          <t>CLASSE A (VT)</t>
        </is>
      </c>
      <c r="D3" s="94" t="n"/>
      <c r="E3" s="10" t="inlineStr">
        <is>
          <t>CLASSE B (VT)</t>
        </is>
      </c>
      <c r="F3" s="94" t="n"/>
      <c r="G3" s="9" t="inlineStr">
        <is>
          <t>MAIOR V.T.</t>
        </is>
      </c>
      <c r="H3" s="94" t="n"/>
      <c r="I3" s="11" t="n"/>
    </row>
    <row r="4" ht="30" customHeight="1">
      <c r="A4" s="12">
        <f>SUM($G$12:$G$21)</f>
        <v/>
      </c>
      <c r="B4" s="95" t="n"/>
      <c r="C4" s="14">
        <f>SUMIF($A$12:$A$21,"A",$G$12:$G$21)</f>
        <v/>
      </c>
      <c r="D4" s="95" t="n"/>
      <c r="E4" s="15">
        <f>SUMIF($A$12:$A$21,"B",$G$12:$G$21)</f>
        <v/>
      </c>
      <c r="F4" s="95" t="n"/>
      <c r="G4" s="16">
        <f>MAX($G$12:$G$21)</f>
        <v/>
      </c>
      <c r="H4" s="95" t="n"/>
      <c r="I4" s="17" t="n"/>
    </row>
    <row r="5" ht="24" customHeight="1">
      <c r="A5" s="18" t="inlineStr">
        <is>
          <t>TOTAL DE ITENS</t>
        </is>
      </c>
      <c r="B5" s="95" t="n"/>
      <c r="C5" s="19" t="inlineStr">
        <is>
          <t>% ITENS CLASSE A</t>
        </is>
      </c>
      <c r="D5" s="95" t="n"/>
      <c r="E5" s="19" t="inlineStr">
        <is>
          <t>CLASSE C (VT)</t>
        </is>
      </c>
      <c r="F5" s="95" t="n"/>
      <c r="G5" s="19" t="inlineStr">
        <is>
          <t>STATUS</t>
        </is>
      </c>
      <c r="H5" s="95" t="n"/>
      <c r="I5" s="17" t="n"/>
    </row>
    <row r="6" ht="30" customHeight="1">
      <c r="A6" s="20">
        <f>COUNTA($D$12:$D$21)</f>
        <v/>
      </c>
      <c r="B6" s="96" t="n"/>
      <c r="C6" s="22">
        <f>IFERROR(COUNTIF($A$12:$A$21,"A")/COUNTA($D$12:$D$21),0)</f>
        <v/>
      </c>
      <c r="D6" s="96" t="n"/>
      <c r="E6" s="23">
        <f>SUMIF($A$12:$A$21,"C",$G$12:$G$21)</f>
        <v/>
      </c>
      <c r="F6" s="96" t="n"/>
      <c r="G6" s="24">
        <f>IF(IFERROR(MAX($I$12:$I$21),0)&gt;1.001,"VERIFICAR","OK")</f>
        <v/>
      </c>
      <c r="H6" s="96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SUMIF($A$12:$A$21,"A",$G$12:$G$21)</f>
        <v/>
      </c>
      <c r="M9" s="32">
        <f>IFERROR(L9/SUM($G$12:$G$21),0)</f>
        <v/>
      </c>
      <c r="N9" s="33">
        <f>COUNTIF($A$12:$A$21,"A")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SUMIF($A$12:$A$21,"B",$G$12:$G$21)</f>
        <v/>
      </c>
      <c r="M10" s="37">
        <f>IFERROR(L10/SUM($G$12:$G$21),0)</f>
        <v/>
      </c>
      <c r="N10" s="38">
        <f>COUNTIF($A$12:$A$21,"B")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SUMIF($A$12:$A$21,"C",$G$12:$G$21)</f>
        <v/>
      </c>
      <c r="M11" s="45">
        <f>IFERROR(L11/SUM($G$12:$G$21),0)</f>
        <v/>
      </c>
      <c r="N11" s="46">
        <f>COUNTIF($A$12:$A$21,"C")</f>
        <v/>
      </c>
      <c r="P11" s="97" t="inlineStr">
        <is>
          <t>Rank</t>
        </is>
      </c>
      <c r="Q11" s="97" t="inlineStr">
        <is>
          <t>SKU</t>
        </is>
      </c>
      <c r="R11" s="97" t="inlineStr">
        <is>
          <t>V.T. (R$)</t>
        </is>
      </c>
      <c r="S11" s="97" t="inlineStr">
        <is>
          <t>Classe</t>
        </is>
      </c>
      <c r="T11" s="97" t="inlineStr">
        <is>
          <t>% Acumulado</t>
        </is>
      </c>
      <c r="U11" s="97" t="inlineStr">
        <is>
          <t>% Individual</t>
        </is>
      </c>
      <c r="V11" s="97" t="inlineStr">
        <is>
          <t>A</t>
        </is>
      </c>
      <c r="W11" s="97" t="inlineStr">
        <is>
          <t>B</t>
        </is>
      </c>
      <c r="X11" s="97" t="inlineStr">
        <is>
          <t>C</t>
        </is>
      </c>
      <c r="Y11" s="97" t="inlineStr">
        <is>
          <t>Banda A</t>
        </is>
      </c>
      <c r="Z11" s="97" t="inlineStr">
        <is>
          <t>Banda B</t>
        </is>
      </c>
      <c r="AA11" s="97" t="inlineStr">
        <is>
          <t>Banda C</t>
        </is>
      </c>
      <c r="AB11" s="97" t="inlineStr">
        <is>
          <t>score</t>
        </is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3</v>
      </c>
      <c r="D12" s="49" t="inlineStr">
        <is>
          <t>Servidor Backup</t>
        </is>
      </c>
      <c r="E12" s="50" t="n">
        <v>2</v>
      </c>
      <c r="F12" s="51" t="n">
        <v>25000</v>
      </c>
      <c r="G12" s="52">
        <f>IFERROR(E12*F12,0)</f>
        <v/>
      </c>
      <c r="H12" s="53">
        <f>IFERROR(G12/SUM($G$12:$G$21),0)</f>
        <v/>
      </c>
      <c r="I12" s="98">
        <f>IFERROR((SUMPRODUCT(($G$12:$G$21&gt;$G12)*$G$12:$G$21)+SUMPRODUCT(($G$12:$G$21=$G12)*(ROW($G$12:$G$21)&lt;=ROW($G12))*$G$12:$G$21))/SUM($G$12:$G$21),0)</f>
        <v/>
      </c>
      <c r="P12" t="n">
        <v>1</v>
      </c>
      <c r="Q12">
        <f>IFERROR(INDEX($B$12:$B$21,MATCH(LARGE($AB$12:$AB$21,$P12),$AB$12:$AB$21,0)),"")</f>
        <v/>
      </c>
      <c r="R12" s="99">
        <f>IFERROR(INDEX($G$12:$G$21,MATCH(LARGE($AB$12:$AB$21,$P12),$AB$12:$AB$21,0)),0)</f>
        <v/>
      </c>
      <c r="S12">
        <f>IF($T12&lt;=$B$9,"A",IF($T12&lt;=$B$10,"B","C"))</f>
        <v/>
      </c>
      <c r="T12" s="100">
        <f>IFERROR($R12/SUM($G$12:$G$21),0)</f>
        <v/>
      </c>
      <c r="U12" s="100">
        <f>IFERROR($R12/SUM($G$12:$G$21),0)</f>
        <v/>
      </c>
      <c r="V12" s="100">
        <f>IF($S12="A",$U12,NA())</f>
        <v/>
      </c>
      <c r="W12" s="100">
        <f>IF($S12="B",$U12,NA())</f>
        <v/>
      </c>
      <c r="X12" s="100">
        <f>IF($S12="C",$U12,NA())</f>
        <v/>
      </c>
      <c r="Y12" s="100">
        <f>IF($S12="A",$T12,NA())</f>
        <v/>
      </c>
      <c r="Z12" s="100">
        <f>IF(OR($S12="A",$S12="B"),$T12,NA())</f>
        <v/>
      </c>
      <c r="AA12" s="100">
        <f>$T12</f>
        <v/>
      </c>
      <c r="AB12">
        <f>IFERROR($G12+(21-ROW())/1000000000,0)</f>
        <v/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5</v>
      </c>
      <c r="D13" s="49" t="inlineStr">
        <is>
          <t>Monitor 27" 4K</t>
        </is>
      </c>
      <c r="E13" s="50" t="n">
        <v>10</v>
      </c>
      <c r="F13" s="51" t="n">
        <v>3000</v>
      </c>
      <c r="G13" s="52">
        <f>IFERROR(E13*F13,0)</f>
        <v/>
      </c>
      <c r="H13" s="53">
        <f>IFERROR(G13/SUM($G$12:$G$21),0)</f>
        <v/>
      </c>
      <c r="I13" s="98">
        <f>IFERROR((SUMPRODUCT(($G$12:$G$21&gt;$G13)*$G$12:$G$21)+SUMPRODUCT(($G$12:$G$21=$G13)*(ROW($G$12:$G$21)&lt;=ROW($G13))*$G$12:$G$21))/SUM($G$12:$G$21),0)</f>
        <v/>
      </c>
      <c r="P13" t="n">
        <v>2</v>
      </c>
      <c r="Q13">
        <f>IFERROR(INDEX($B$12:$B$21,MATCH(LARGE($AB$12:$AB$21,$P13),$AB$12:$AB$21,0)),"")</f>
        <v/>
      </c>
      <c r="R13" s="99">
        <f>IFERROR(INDEX($G$12:$G$21,MATCH(LARGE($AB$12:$AB$21,$P13),$AB$12:$AB$21,0)),0)</f>
        <v/>
      </c>
      <c r="S13">
        <f>IF($T13&lt;=$B$9,"A",IF($T13&lt;=$B$10,"B","C"))</f>
        <v/>
      </c>
      <c r="T13" s="100">
        <f>IFERROR($T12+$R13/SUM($G$12:$G$21),0)</f>
        <v/>
      </c>
      <c r="U13" s="100">
        <f>IFERROR($R13/SUM($G$12:$G$21),0)</f>
        <v/>
      </c>
      <c r="V13" s="100">
        <f>IF($S13="A",$U13,NA())</f>
        <v/>
      </c>
      <c r="W13" s="100">
        <f>IF($S13="B",$U13,NA())</f>
        <v/>
      </c>
      <c r="X13" s="100">
        <f>IF($S13="C",$U13,NA())</f>
        <v/>
      </c>
      <c r="Y13" s="100">
        <f>IF($S13="A",$T13,NA())</f>
        <v/>
      </c>
      <c r="Z13" s="100">
        <f>IF(OR($S13="A",$S13="B"),$T13,NA())</f>
        <v/>
      </c>
      <c r="AA13" s="100">
        <f>$T13</f>
        <v/>
      </c>
      <c r="AB13">
        <f>IFERROR($G13+(21-ROW())/1000000000,0)</f>
        <v/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9</v>
      </c>
      <c r="D14" s="49" t="inlineStr">
        <is>
          <t>Notebook Administrativo</t>
        </is>
      </c>
      <c r="E14" s="50" t="n">
        <v>6</v>
      </c>
      <c r="F14" s="51" t="n">
        <v>4500</v>
      </c>
      <c r="G14" s="52">
        <f>IFERROR(E14*F14,0)</f>
        <v/>
      </c>
      <c r="H14" s="53">
        <f>IFERROR(G14/SUM($G$12:$G$21),0)</f>
        <v/>
      </c>
      <c r="I14" s="98">
        <f>IFERROR((SUMPRODUCT(($G$12:$G$21&gt;$G14)*$G$12:$G$21)+SUMPRODUCT(($G$12:$G$21=$G14)*(ROW($G$12:$G$21)&lt;=ROW($G14))*$G$12:$G$21))/SUM($G$12:$G$21),0)</f>
        <v/>
      </c>
      <c r="P14" t="n">
        <v>3</v>
      </c>
      <c r="Q14">
        <f>IFERROR(INDEX($B$12:$B$21,MATCH(LARGE($AB$12:$AB$21,$P14),$AB$12:$AB$21,0)),"")</f>
        <v/>
      </c>
      <c r="R14" s="99">
        <f>IFERROR(INDEX($G$12:$G$21,MATCH(LARGE($AB$12:$AB$21,$P14),$AB$12:$AB$21,0)),0)</f>
        <v/>
      </c>
      <c r="S14">
        <f>IF($T14&lt;=$B$9,"A",IF($T14&lt;=$B$10,"B","C"))</f>
        <v/>
      </c>
      <c r="T14" s="100">
        <f>IFERROR($T13+$R14/SUM($G$12:$G$21),0)</f>
        <v/>
      </c>
      <c r="U14" s="100">
        <f>IFERROR($R14/SUM($G$12:$G$21),0)</f>
        <v/>
      </c>
      <c r="V14" s="100">
        <f>IF($S14="A",$U14,NA())</f>
        <v/>
      </c>
      <c r="W14" s="100">
        <f>IF($S14="B",$U14,NA())</f>
        <v/>
      </c>
      <c r="X14" s="100">
        <f>IF($S14="C",$U14,NA())</f>
        <v/>
      </c>
      <c r="Y14" s="100">
        <f>IF($S14="A",$T14,NA())</f>
        <v/>
      </c>
      <c r="Z14" s="100">
        <f>IF(OR($S14="A",$S14="B"),$T14,NA())</f>
        <v/>
      </c>
      <c r="AA14" s="100">
        <f>$T14</f>
        <v/>
      </c>
      <c r="AB14">
        <f>IFERROR($G14+(21-ROW())/1000000000,0)</f>
        <v/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1</v>
      </c>
      <c r="D15" s="49" t="inlineStr">
        <is>
          <t>Nobreak Profissional</t>
        </is>
      </c>
      <c r="E15" s="50" t="n">
        <v>5</v>
      </c>
      <c r="F15" s="51" t="n">
        <v>2000</v>
      </c>
      <c r="G15" s="52">
        <f>IFERROR(E15*F15,0)</f>
        <v/>
      </c>
      <c r="H15" s="53">
        <f>IFERROR(G15/SUM($G$12:$G$21),0)</f>
        <v/>
      </c>
      <c r="I15" s="98">
        <f>IFERROR((SUMPRODUCT(($G$12:$G$21&gt;$G15)*$G$12:$G$21)+SUMPRODUCT(($G$12:$G$21=$G15)*(ROW($G$12:$G$21)&lt;=ROW($G15))*$G$12:$G$21))/SUM($G$12:$G$21),0)</f>
        <v/>
      </c>
      <c r="P15" t="n">
        <v>4</v>
      </c>
      <c r="Q15">
        <f>IFERROR(INDEX($B$12:$B$21,MATCH(LARGE($AB$12:$AB$21,$P15),$AB$12:$AB$21,0)),"")</f>
        <v/>
      </c>
      <c r="R15" s="99">
        <f>IFERROR(INDEX($G$12:$G$21,MATCH(LARGE($AB$12:$AB$21,$P15),$AB$12:$AB$21,0)),0)</f>
        <v/>
      </c>
      <c r="S15">
        <f>IF($T15&lt;=$B$9,"A",IF($T15&lt;=$B$10,"B","C"))</f>
        <v/>
      </c>
      <c r="T15" s="100">
        <f>IFERROR($T14+$R15/SUM($G$12:$G$21),0)</f>
        <v/>
      </c>
      <c r="U15" s="100">
        <f>IFERROR($R15/SUM($G$12:$G$21),0)</f>
        <v/>
      </c>
      <c r="V15" s="100">
        <f>IF($S15="A",$U15,NA())</f>
        <v/>
      </c>
      <c r="W15" s="100">
        <f>IF($S15="B",$U15,NA())</f>
        <v/>
      </c>
      <c r="X15" s="100">
        <f>IF($S15="C",$U15,NA())</f>
        <v/>
      </c>
      <c r="Y15" s="100">
        <f>IF($S15="A",$T15,NA())</f>
        <v/>
      </c>
      <c r="Z15" s="100">
        <f>IF(OR($S15="A",$S15="B"),$T15,NA())</f>
        <v/>
      </c>
      <c r="AA15" s="100">
        <f>$T15</f>
        <v/>
      </c>
      <c r="AB15">
        <f>IFERROR($G15+(21-ROW())/1000000000,0)</f>
        <v/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7</v>
      </c>
      <c r="D16" s="49" t="inlineStr">
        <is>
          <t>Switch Gerenciavel</t>
        </is>
      </c>
      <c r="E16" s="50" t="n">
        <v>4</v>
      </c>
      <c r="F16" s="51" t="n">
        <v>1500</v>
      </c>
      <c r="G16" s="52">
        <f>IFERROR(E16*F16,0)</f>
        <v/>
      </c>
      <c r="H16" s="53">
        <f>IFERROR(G16/SUM($G$12:$G$21),0)</f>
        <v/>
      </c>
      <c r="I16" s="98">
        <f>IFERROR((SUMPRODUCT(($G$12:$G$21&gt;$G16)*$G$12:$G$21)+SUMPRODUCT(($G$12:$G$21=$G16)*(ROW($G$12:$G$21)&lt;=ROW($G16))*$G$12:$G$21))/SUM($G$12:$G$21),0)</f>
        <v/>
      </c>
      <c r="P16" t="n">
        <v>5</v>
      </c>
      <c r="Q16">
        <f>IFERROR(INDEX($B$12:$B$21,MATCH(LARGE($AB$12:$AB$21,$P16),$AB$12:$AB$21,0)),"")</f>
        <v/>
      </c>
      <c r="R16" s="99">
        <f>IFERROR(INDEX($G$12:$G$21,MATCH(LARGE($AB$12:$AB$21,$P16),$AB$12:$AB$21,0)),0)</f>
        <v/>
      </c>
      <c r="S16">
        <f>IF($T16&lt;=$B$9,"A",IF($T16&lt;=$B$10,"B","C"))</f>
        <v/>
      </c>
      <c r="T16" s="100">
        <f>IFERROR($T15+$R16/SUM($G$12:$G$21),0)</f>
        <v/>
      </c>
      <c r="U16" s="100">
        <f>IFERROR($R16/SUM($G$12:$G$21),0)</f>
        <v/>
      </c>
      <c r="V16" s="100">
        <f>IF($S16="A",$U16,NA())</f>
        <v/>
      </c>
      <c r="W16" s="100">
        <f>IF($S16="B",$U16,NA())</f>
        <v/>
      </c>
      <c r="X16" s="100">
        <f>IF($S16="C",$U16,NA())</f>
        <v/>
      </c>
      <c r="Y16" s="100">
        <f>IF($S16="A",$T16,NA())</f>
        <v/>
      </c>
      <c r="Z16" s="100">
        <f>IF(OR($S16="A",$S16="B"),$T16,NA())</f>
        <v/>
      </c>
      <c r="AA16" s="100">
        <f>$T16</f>
        <v/>
      </c>
      <c r="AB16">
        <f>IFERROR($G16+(21-ROW())/1000000000,0)</f>
        <v/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4</v>
      </c>
      <c r="D17" s="49" t="inlineStr">
        <is>
          <t>Mouse sem fio</t>
        </is>
      </c>
      <c r="E17" s="50" t="n">
        <v>40</v>
      </c>
      <c r="F17" s="51" t="n">
        <v>50</v>
      </c>
      <c r="G17" s="52">
        <f>IFERROR(E17*F17,0)</f>
        <v/>
      </c>
      <c r="H17" s="53">
        <f>IFERROR(G17/SUM($G$12:$G$21),0)</f>
        <v/>
      </c>
      <c r="I17" s="98">
        <f>IFERROR((SUMPRODUCT(($G$12:$G$21&gt;$G17)*$G$12:$G$21)+SUMPRODUCT(($G$12:$G$21=$G17)*(ROW($G$12:$G$21)&lt;=ROW($G17))*$G$12:$G$21))/SUM($G$12:$G$21),0)</f>
        <v/>
      </c>
      <c r="P17" t="n">
        <v>6</v>
      </c>
      <c r="Q17">
        <f>IFERROR(INDEX($B$12:$B$21,MATCH(LARGE($AB$12:$AB$21,$P17),$AB$12:$AB$21,0)),"")</f>
        <v/>
      </c>
      <c r="R17" s="99">
        <f>IFERROR(INDEX($G$12:$G$21,MATCH(LARGE($AB$12:$AB$21,$P17),$AB$12:$AB$21,0)),0)</f>
        <v/>
      </c>
      <c r="S17">
        <f>IF($T17&lt;=$B$9,"A",IF($T17&lt;=$B$10,"B","C"))</f>
        <v/>
      </c>
      <c r="T17" s="100">
        <f>IFERROR($T16+$R17/SUM($G$12:$G$21),0)</f>
        <v/>
      </c>
      <c r="U17" s="100">
        <f>IFERROR($R17/SUM($G$12:$G$21),0)</f>
        <v/>
      </c>
      <c r="V17" s="100">
        <f>IF($S17="A",$U17,NA())</f>
        <v/>
      </c>
      <c r="W17" s="100">
        <f>IF($S17="B",$U17,NA())</f>
        <v/>
      </c>
      <c r="X17" s="100">
        <f>IF($S17="C",$U17,NA())</f>
        <v/>
      </c>
      <c r="Y17" s="100">
        <f>IF($S17="A",$T17,NA())</f>
        <v/>
      </c>
      <c r="Z17" s="100">
        <f>IF(OR($S17="A",$S17="B"),$T17,NA())</f>
        <v/>
      </c>
      <c r="AA17" s="100">
        <f>$T17</f>
        <v/>
      </c>
      <c r="AB17">
        <f>IFERROR($G17+(21-ROW())/1000000000,0)</f>
        <v/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8</v>
      </c>
      <c r="D18" s="49" t="inlineStr">
        <is>
          <t>Patch Cord 1m</t>
        </is>
      </c>
      <c r="E18" s="50" t="n">
        <v>100</v>
      </c>
      <c r="F18" s="51" t="n">
        <v>15</v>
      </c>
      <c r="G18" s="52">
        <f>IFERROR(E18*F18,0)</f>
        <v/>
      </c>
      <c r="H18" s="53">
        <f>IFERROR(G18/SUM($G$12:$G$21),0)</f>
        <v/>
      </c>
      <c r="I18" s="98">
        <f>IFERROR((SUMPRODUCT(($G$12:$G$21&gt;$G18)*$G$12:$G$21)+SUMPRODUCT(($G$12:$G$21=$G18)*(ROW($G$12:$G$21)&lt;=ROW($G18))*$G$12:$G$21))/SUM($G$12:$G$21),0)</f>
        <v/>
      </c>
      <c r="P18" t="n">
        <v>7</v>
      </c>
      <c r="Q18">
        <f>IFERROR(INDEX($B$12:$B$21,MATCH(LARGE($AB$12:$AB$21,$P18),$AB$12:$AB$21,0)),"")</f>
        <v/>
      </c>
      <c r="R18" s="99">
        <f>IFERROR(INDEX($G$12:$G$21,MATCH(LARGE($AB$12:$AB$21,$P18),$AB$12:$AB$21,0)),0)</f>
        <v/>
      </c>
      <c r="S18">
        <f>IF($T18&lt;=$B$9,"A",IF($T18&lt;=$B$10,"B","C"))</f>
        <v/>
      </c>
      <c r="T18" s="100">
        <f>IFERROR($T17+$R18/SUM($G$12:$G$21),0)</f>
        <v/>
      </c>
      <c r="U18" s="100">
        <f>IFERROR($R18/SUM($G$12:$G$21),0)</f>
        <v/>
      </c>
      <c r="V18" s="100">
        <f>IF($S18="A",$U18,NA())</f>
        <v/>
      </c>
      <c r="W18" s="100">
        <f>IF($S18="B",$U18,NA())</f>
        <v/>
      </c>
      <c r="X18" s="100">
        <f>IF($S18="C",$U18,NA())</f>
        <v/>
      </c>
      <c r="Y18" s="100">
        <f>IF($S18="A",$T18,NA())</f>
        <v/>
      </c>
      <c r="Z18" s="100">
        <f>IF(OR($S18="A",$S18="B"),$T18,NA())</f>
        <v/>
      </c>
      <c r="AA18" s="100">
        <f>$T18</f>
        <v/>
      </c>
      <c r="AB18">
        <f>IFERROR($G18+(21-ROW())/1000000000,0)</f>
        <v/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6</v>
      </c>
      <c r="D19" s="49" t="inlineStr">
        <is>
          <t>Teclado USB</t>
        </is>
      </c>
      <c r="E19" s="50" t="n">
        <v>80</v>
      </c>
      <c r="F19" s="51" t="n">
        <v>35</v>
      </c>
      <c r="G19" s="52">
        <f>IFERROR(E19*F19,0)</f>
        <v/>
      </c>
      <c r="H19" s="53">
        <f>IFERROR(G19/SUM($G$12:$G$21),0)</f>
        <v/>
      </c>
      <c r="I19" s="98">
        <f>IFERROR((SUMPRODUCT(($G$12:$G$21&gt;$G19)*$G$12:$G$21)+SUMPRODUCT(($G$12:$G$21=$G19)*(ROW($G$12:$G$21)&lt;=ROW($G19))*$G$12:$G$21))/SUM($G$12:$G$21),0)</f>
        <v/>
      </c>
      <c r="P19" t="n">
        <v>8</v>
      </c>
      <c r="Q19">
        <f>IFERROR(INDEX($B$12:$B$21,MATCH(LARGE($AB$12:$AB$21,$P19),$AB$12:$AB$21,0)),"")</f>
        <v/>
      </c>
      <c r="R19" s="99">
        <f>IFERROR(INDEX($G$12:$G$21,MATCH(LARGE($AB$12:$AB$21,$P19),$AB$12:$AB$21,0)),0)</f>
        <v/>
      </c>
      <c r="S19">
        <f>IF($T19&lt;=$B$9,"A",IF($T19&lt;=$B$10,"B","C"))</f>
        <v/>
      </c>
      <c r="T19" s="100">
        <f>IFERROR($T18+$R19/SUM($G$12:$G$21),0)</f>
        <v/>
      </c>
      <c r="U19" s="100">
        <f>IFERROR($R19/SUM($G$12:$G$21),0)</f>
        <v/>
      </c>
      <c r="V19" s="100">
        <f>IF($S19="A",$U19,NA())</f>
        <v/>
      </c>
      <c r="W19" s="100">
        <f>IF($S19="B",$U19,NA())</f>
        <v/>
      </c>
      <c r="X19" s="100">
        <f>IF($S19="C",$U19,NA())</f>
        <v/>
      </c>
      <c r="Y19" s="100">
        <f>IF($S19="A",$T19,NA())</f>
        <v/>
      </c>
      <c r="Z19" s="100">
        <f>IF(OR($S19="A",$S19="B"),$T19,NA())</f>
        <v/>
      </c>
      <c r="AA19" s="100">
        <f>$T19</f>
        <v/>
      </c>
      <c r="AB19">
        <f>IFERROR($G19+(21-ROW())/1000000000,0)</f>
        <v/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2</v>
      </c>
      <c r="D20" s="49" t="inlineStr">
        <is>
          <t>Cabo Rede Cat6 (m)</t>
        </is>
      </c>
      <c r="E20" s="50" t="n">
        <v>200</v>
      </c>
      <c r="F20" s="51" t="n">
        <v>8</v>
      </c>
      <c r="G20" s="52">
        <f>IFERROR(E20*F20,0)</f>
        <v/>
      </c>
      <c r="H20" s="53">
        <f>IFERROR(G20/SUM($G$12:$G$21),0)</f>
        <v/>
      </c>
      <c r="I20" s="98">
        <f>IFERROR((SUMPRODUCT(($G$12:$G$21&gt;$G20)*$G$12:$G$21)+SUMPRODUCT(($G$12:$G$21=$G20)*(ROW($G$12:$G$21)&lt;=ROW($G20))*$G$12:$G$21))/SUM($G$12:$G$21),0)</f>
        <v/>
      </c>
      <c r="P20" t="n">
        <v>9</v>
      </c>
      <c r="Q20">
        <f>IFERROR(INDEX($B$12:$B$21,MATCH(LARGE($AB$12:$AB$21,$P20),$AB$12:$AB$21,0)),"")</f>
        <v/>
      </c>
      <c r="R20" s="99">
        <f>IFERROR(INDEX($G$12:$G$21,MATCH(LARGE($AB$12:$AB$21,$P20),$AB$12:$AB$21,0)),0)</f>
        <v/>
      </c>
      <c r="S20">
        <f>IF($T20&lt;=$B$9,"A",IF($T20&lt;=$B$10,"B","C"))</f>
        <v/>
      </c>
      <c r="T20" s="100">
        <f>IFERROR($T19+$R20/SUM($G$12:$G$21),0)</f>
        <v/>
      </c>
      <c r="U20" s="100">
        <f>IFERROR($R20/SUM($G$12:$G$21),0)</f>
        <v/>
      </c>
      <c r="V20" s="100">
        <f>IF($S20="A",$U20,NA())</f>
        <v/>
      </c>
      <c r="W20" s="100">
        <f>IF($S20="B",$U20,NA())</f>
        <v/>
      </c>
      <c r="X20" s="100">
        <f>IF($S20="C",$U20,NA())</f>
        <v/>
      </c>
      <c r="Y20" s="100">
        <f>IF($S20="A",$T20,NA())</f>
        <v/>
      </c>
      <c r="Z20" s="100">
        <f>IF(OR($S20="A",$S20="B"),$T20,NA())</f>
        <v/>
      </c>
      <c r="AA20" s="100">
        <f>$T20</f>
        <v/>
      </c>
      <c r="AB20">
        <f>IFERROR($G20+(21-ROW())/1000000000,0)</f>
        <v/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10</v>
      </c>
      <c r="D21" s="49" t="inlineStr">
        <is>
          <t>Mousepad Slim</t>
        </is>
      </c>
      <c r="E21" s="50" t="n">
        <v>120</v>
      </c>
      <c r="F21" s="51" t="n">
        <v>12</v>
      </c>
      <c r="G21" s="52">
        <f>IFERROR(E21*F21,0)</f>
        <v/>
      </c>
      <c r="H21" s="53">
        <f>IFERROR(G21/SUM($G$12:$G$21),0)</f>
        <v/>
      </c>
      <c r="I21" s="98">
        <f>IFERROR((SUMPRODUCT(($G$12:$G$21&gt;$G21)*$G$12:$G$21)+SUMPRODUCT(($G$12:$G$21=$G21)*(ROW($G$12:$G$21)&lt;=ROW($G21))*$G$12:$G$21))/SUM($G$12:$G$21),0)</f>
        <v/>
      </c>
      <c r="P21" t="n">
        <v>10</v>
      </c>
      <c r="Q21">
        <f>IFERROR(INDEX($B$12:$B$21,MATCH(LARGE($AB$12:$AB$21,$P21),$AB$12:$AB$21,0)),"")</f>
        <v/>
      </c>
      <c r="R21" s="99">
        <f>IFERROR(INDEX($G$12:$G$21,MATCH(LARGE($AB$12:$AB$21,$P21),$AB$12:$AB$21,0)),0)</f>
        <v/>
      </c>
      <c r="S21">
        <f>IF($T21&lt;=$B$9,"A",IF($T21&lt;=$B$10,"B","C"))</f>
        <v/>
      </c>
      <c r="T21" s="100">
        <f>IFERROR($T20+$R21/SUM($G$12:$G$21),0)</f>
        <v/>
      </c>
      <c r="U21" s="100">
        <f>IFERROR($R21/SUM($G$12:$G$21),0)</f>
        <v/>
      </c>
      <c r="V21" s="100">
        <f>IF($S21="A",$U21,NA())</f>
        <v/>
      </c>
      <c r="W21" s="100">
        <f>IF($S21="B",$U21,NA())</f>
        <v/>
      </c>
      <c r="X21" s="100">
        <f>IF($S21="C",$U21,NA())</f>
        <v/>
      </c>
      <c r="Y21" s="100">
        <f>IF($S21="A",$T21,NA())</f>
        <v/>
      </c>
      <c r="Z21" s="100">
        <f>IF(OR($S21="A",$S21="B"),$T21,NA())</f>
        <v/>
      </c>
      <c r="AA21" s="100">
        <f>$T21</f>
        <v/>
      </c>
      <c r="AB21">
        <f>IFERROR($G21+(21-ROW())/1000000000,0)</f>
        <v/>
      </c>
    </row>
    <row r="22" ht="24" customHeight="1">
      <c r="A22" s="54" t="inlineStr">
        <is>
          <t>TOTAL GERAL</t>
        </is>
      </c>
      <c r="B22" s="101" t="n"/>
      <c r="C22" s="101" t="n"/>
      <c r="D22" s="102" t="n"/>
      <c r="E22" s="56">
        <f>SUM(E12:E21)</f>
        <v/>
      </c>
      <c r="F22" s="57" t="n"/>
      <c r="G22" s="58">
        <f>SUM(G12:G21)</f>
        <v/>
      </c>
      <c r="H22" s="59" t="n">
        <v>1</v>
      </c>
      <c r="I22" s="59" t="n">
        <v>1</v>
      </c>
    </row>
    <row r="2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A22:D22"/>
    <mergeCell ref="C5:D5"/>
    <mergeCell ref="E5:F5"/>
    <mergeCell ref="J1:N1"/>
    <mergeCell ref="A6:B6"/>
    <mergeCell ref="C4:D4"/>
    <mergeCell ref="E4:F4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E3:F3"/>
  </mergeCells>
  <conditionalFormatting sqref="A12:I2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  <cfRule type="expression" priority="7" dxfId="6" stopIfTrue="0">
      <formula>$A12="A"</formula>
    </cfRule>
    <cfRule type="expression" priority="8" dxfId="7" stopIfTrue="0">
      <formula>$A12="B"</formula>
    </cfRule>
    <cfRule type="expression" priority="9" dxfId="8" stopIfTrue="0">
      <formula>$A12="C"</formula>
    </cfRule>
  </conditionalFormatting>
  <conditionalFormatting sqref="A12:A2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3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  <dataValidation sqref="B9:B10" showDropDown="0" showInputMessage="1" showErrorMessage="1" allowBlank="0" errorTitle="Limite invalido" error="Digite um percentual entre 0 e 1 (ex.: 0,8 para 80%)." promptTitle="Limite ABC" prompt="Percentual entre 0 e 1 (0,8 = 80%).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C81E"/>
    <outlinePr summaryBelow="1" summaryRight="1"/>
    <pageSetUpPr/>
  </sheetPr>
  <dimension ref="A1:AC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11" customWidth="1" min="16" max="16"/>
    <col hidden="1" width="11" customWidth="1" min="17" max="17"/>
    <col hidden="1" width="11" customWidth="1" min="18" max="18"/>
    <col hidden="1" width="11" customWidth="1" min="19" max="19"/>
    <col hidden="1"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hidden="1" width="13" customWidth="1" min="28" max="28"/>
  </cols>
  <sheetData>
    <row r="1" ht="52" customHeight="1">
      <c r="A1" s="1" t="inlineStr">
        <is>
          <t xml:space="preserve">  CURVA ABC — ABA 01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94" t="n"/>
      <c r="C3" s="9" t="inlineStr">
        <is>
          <t>CLASSE A (VT)</t>
        </is>
      </c>
      <c r="D3" s="94" t="n"/>
      <c r="E3" s="10" t="inlineStr">
        <is>
          <t>CLASSE B (VT)</t>
        </is>
      </c>
      <c r="F3" s="94" t="n"/>
      <c r="G3" s="9" t="inlineStr">
        <is>
          <t>MAIOR V.T.</t>
        </is>
      </c>
      <c r="H3" s="94" t="n"/>
      <c r="I3" s="11" t="n"/>
    </row>
    <row r="4" ht="30" customHeight="1">
      <c r="A4" s="12">
        <f>SUM($G$12:$G$31)</f>
        <v/>
      </c>
      <c r="B4" s="95" t="n"/>
      <c r="C4" s="14">
        <f>SUMIF($A$12:$A$31,"A",$G$12:$G$31)</f>
        <v/>
      </c>
      <c r="D4" s="95" t="n"/>
      <c r="E4" s="15">
        <f>SUMIF($A$12:$A$31,"B",$G$12:$G$31)</f>
        <v/>
      </c>
      <c r="F4" s="95" t="n"/>
      <c r="G4" s="16">
        <f>MAX($G$12:$G$31)</f>
        <v/>
      </c>
      <c r="H4" s="95" t="n"/>
      <c r="I4" s="17" t="n"/>
    </row>
    <row r="5" ht="24" customHeight="1">
      <c r="A5" s="18" t="inlineStr">
        <is>
          <t>TOTAL DE ITENS</t>
        </is>
      </c>
      <c r="B5" s="95" t="n"/>
      <c r="C5" s="19" t="inlineStr">
        <is>
          <t>% ITENS CLASSE A</t>
        </is>
      </c>
      <c r="D5" s="95" t="n"/>
      <c r="E5" s="19" t="inlineStr">
        <is>
          <t>CLASSE C (VT)</t>
        </is>
      </c>
      <c r="F5" s="95" t="n"/>
      <c r="G5" s="19" t="inlineStr">
        <is>
          <t>STATUS</t>
        </is>
      </c>
      <c r="H5" s="95" t="n"/>
      <c r="I5" s="17" t="n"/>
    </row>
    <row r="6" ht="30" customHeight="1">
      <c r="A6" s="20">
        <f>COUNTA($D$12:$D$31)</f>
        <v/>
      </c>
      <c r="B6" s="96" t="n"/>
      <c r="C6" s="22">
        <f>IFERROR(COUNTIF($A$12:$A$31,"A")/COUNTA($D$12:$D$31),0)</f>
        <v/>
      </c>
      <c r="D6" s="96" t="n"/>
      <c r="E6" s="23">
        <f>SUMIF($A$12:$A$31,"C",$G$12:$G$31)</f>
        <v/>
      </c>
      <c r="F6" s="96" t="n"/>
      <c r="G6" s="24">
        <f>IF(IFERROR(MAX($I$12:$I$31),0)&gt;1.001,"VERIFICAR","OK")</f>
        <v/>
      </c>
      <c r="H6" s="96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SUMIF($A$12:$A$31,"A",$G$12:$G$31)</f>
        <v/>
      </c>
      <c r="M9" s="32">
        <f>IFERROR(L9/SUM($G$12:$G$31),0)</f>
        <v/>
      </c>
      <c r="N9" s="33">
        <f>COUNTIF($A$12:$A$31,"A")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SUMIF($A$12:$A$31,"B",$G$12:$G$31)</f>
        <v/>
      </c>
      <c r="M10" s="37">
        <f>IFERROR(L10/SUM($G$12:$G$31),0)</f>
        <v/>
      </c>
      <c r="N10" s="38">
        <f>COUNTIF($A$12:$A$31,"B")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SUMIF($A$12:$A$31,"C",$G$12:$G$31)</f>
        <v/>
      </c>
      <c r="M11" s="45">
        <f>IFERROR(L11/SUM($G$12:$G$31),0)</f>
        <v/>
      </c>
      <c r="N11" s="46">
        <f>COUNTIF($A$12:$A$31,"C")</f>
        <v/>
      </c>
      <c r="P11" s="97" t="inlineStr">
        <is>
          <t>Rank</t>
        </is>
      </c>
      <c r="Q11" s="97" t="inlineStr">
        <is>
          <t>SKU</t>
        </is>
      </c>
      <c r="R11" s="97" t="inlineStr">
        <is>
          <t>V.T. (R$)</t>
        </is>
      </c>
      <c r="S11" s="97" t="inlineStr">
        <is>
          <t>Classe</t>
        </is>
      </c>
      <c r="T11" s="97" t="inlineStr">
        <is>
          <t>% Acumulado</t>
        </is>
      </c>
      <c r="U11" s="97" t="inlineStr">
        <is>
          <t>% Individual</t>
        </is>
      </c>
      <c r="V11" s="97" t="inlineStr">
        <is>
          <t>A</t>
        </is>
      </c>
      <c r="W11" s="97" t="inlineStr">
        <is>
          <t>B</t>
        </is>
      </c>
      <c r="X11" s="97" t="inlineStr">
        <is>
          <t>C</t>
        </is>
      </c>
      <c r="Y11" s="97" t="inlineStr">
        <is>
          <t>Banda A</t>
        </is>
      </c>
      <c r="Z11" s="97" t="inlineStr">
        <is>
          <t>Banda B</t>
        </is>
      </c>
      <c r="AA11" s="97" t="inlineStr">
        <is>
          <t>Banda C</t>
        </is>
      </c>
      <c r="AB11" s="97" t="inlineStr">
        <is>
          <t>score</t>
        </is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10</v>
      </c>
      <c r="D12" s="49" t="inlineStr">
        <is>
          <t>Notebook Executivo i7</t>
        </is>
      </c>
      <c r="E12" s="50" t="n">
        <v>35</v>
      </c>
      <c r="F12" s="51" t="n">
        <v>6500</v>
      </c>
      <c r="G12" s="52">
        <f>IFERROR(E12*F12,0)</f>
        <v/>
      </c>
      <c r="H12" s="53">
        <f>IFERROR(G12/SUM($G$12:$G$31),0)</f>
        <v/>
      </c>
      <c r="I12" s="98">
        <f>IFERROR((SUMPRODUCT(($G$12:$G$31&gt;$G12)*$G$12:$G$31)+SUMPRODUCT(($G$12:$G$31=$G12)*(ROW($G$12:$G$31)&lt;=ROW($G12))*$G$12:$G$31))/SUM($G$12:$G$31),0)</f>
        <v/>
      </c>
      <c r="P12" t="n">
        <v>1</v>
      </c>
      <c r="Q12">
        <f>IFERROR(INDEX($B$12:$B$31,MATCH(LARGE($AB$12:$AB$31,$P12),$AB$12:$AB$31,0)),"")</f>
        <v/>
      </c>
      <c r="R12" s="99">
        <f>IFERROR(INDEX($G$12:$G$31,MATCH(LARGE($AB$12:$AB$31,$P12),$AB$12:$AB$31,0)),0)</f>
        <v/>
      </c>
      <c r="S12">
        <f>IF($T12&lt;=$B$9,"A",IF($T12&lt;=$B$10,"B","C"))</f>
        <v/>
      </c>
      <c r="T12" s="100">
        <f>IFERROR($R12/SUM($G$12:$G$31),0)</f>
        <v/>
      </c>
      <c r="U12" s="100">
        <f>IFERROR($R12/SUM($G$12:$G$31),0)</f>
        <v/>
      </c>
      <c r="V12" s="100">
        <f>IF($S12="A",$U12,NA())</f>
        <v/>
      </c>
      <c r="W12" s="100">
        <f>IF($S12="B",$U12,NA())</f>
        <v/>
      </c>
      <c r="X12" s="100">
        <f>IF($S12="C",$U12,NA())</f>
        <v/>
      </c>
      <c r="Y12" s="100">
        <f>IF($S12="A",$T12,NA())</f>
        <v/>
      </c>
      <c r="Z12" s="100">
        <f>IF(OR($S12="A",$S12="B"),$T12,NA())</f>
        <v/>
      </c>
      <c r="AA12" s="100">
        <f>$T12</f>
        <v/>
      </c>
      <c r="AB12">
        <f>IFERROR($G12+(31-ROW())/1000000000,0)</f>
        <v/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2</v>
      </c>
      <c r="D13" s="49" t="inlineStr">
        <is>
          <t>Servidor de Dados Pro</t>
        </is>
      </c>
      <c r="E13" s="50" t="n">
        <v>12</v>
      </c>
      <c r="F13" s="51" t="n">
        <v>15000</v>
      </c>
      <c r="G13" s="52">
        <f>IFERROR(E13*F13,0)</f>
        <v/>
      </c>
      <c r="H13" s="53">
        <f>IFERROR(G13/SUM($G$12:$G$31),0)</f>
        <v/>
      </c>
      <c r="I13" s="98">
        <f>IFERROR((SUMPRODUCT(($G$12:$G$31&gt;$G13)*$G$12:$G$31)+SUMPRODUCT(($G$12:$G$31=$G13)*(ROW($G$12:$G$31)&lt;=ROW($G13))*$G$12:$G$31))/SUM($G$12:$G$31),0)</f>
        <v/>
      </c>
      <c r="P13" t="n">
        <v>2</v>
      </c>
      <c r="Q13">
        <f>IFERROR(INDEX($B$12:$B$31,MATCH(LARGE($AB$12:$AB$31,$P13),$AB$12:$AB$31,0)),"")</f>
        <v/>
      </c>
      <c r="R13" s="99">
        <f>IFERROR(INDEX($G$12:$G$31,MATCH(LARGE($AB$12:$AB$31,$P13),$AB$12:$AB$31,0)),0)</f>
        <v/>
      </c>
      <c r="S13">
        <f>IF($T13&lt;=$B$9,"A",IF($T13&lt;=$B$10,"B","C"))</f>
        <v/>
      </c>
      <c r="T13" s="100">
        <f>IFERROR($T12+$R13/SUM($G$12:$G$31),0)</f>
        <v/>
      </c>
      <c r="U13" s="100">
        <f>IFERROR($R13/SUM($G$12:$G$31),0)</f>
        <v/>
      </c>
      <c r="V13" s="100">
        <f>IF($S13="A",$U13,NA())</f>
        <v/>
      </c>
      <c r="W13" s="100">
        <f>IF($S13="B",$U13,NA())</f>
        <v/>
      </c>
      <c r="X13" s="100">
        <f>IF($S13="C",$U13,NA())</f>
        <v/>
      </c>
      <c r="Y13" s="100">
        <f>IF($S13="A",$T13,NA())</f>
        <v/>
      </c>
      <c r="Z13" s="100">
        <f>IF(OR($S13="A",$S13="B"),$T13,NA())</f>
        <v/>
      </c>
      <c r="AA13" s="100">
        <f>$T13</f>
        <v/>
      </c>
      <c r="AB13">
        <f>IFERROR($G13+(31-ROW())/1000000000,0)</f>
        <v/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17</v>
      </c>
      <c r="D14" s="49" t="inlineStr">
        <is>
          <t>Impressora Multifuncional</t>
        </is>
      </c>
      <c r="E14" s="50" t="n">
        <v>55</v>
      </c>
      <c r="F14" s="51" t="n">
        <v>1100</v>
      </c>
      <c r="G14" s="52">
        <f>IFERROR(E14*F14,0)</f>
        <v/>
      </c>
      <c r="H14" s="53">
        <f>IFERROR(G14/SUM($G$12:$G$31),0)</f>
        <v/>
      </c>
      <c r="I14" s="98">
        <f>IFERROR((SUMPRODUCT(($G$12:$G$31&gt;$G14)*$G$12:$G$31)+SUMPRODUCT(($G$12:$G$31=$G14)*(ROW($G$12:$G$31)&lt;=ROW($G14))*$G$12:$G$31))/SUM($G$12:$G$31),0)</f>
        <v/>
      </c>
      <c r="P14" t="n">
        <v>3</v>
      </c>
      <c r="Q14">
        <f>IFERROR(INDEX($B$12:$B$31,MATCH(LARGE($AB$12:$AB$31,$P14),$AB$12:$AB$31,0)),"")</f>
        <v/>
      </c>
      <c r="R14" s="99">
        <f>IFERROR(INDEX($G$12:$G$31,MATCH(LARGE($AB$12:$AB$31,$P14),$AB$12:$AB$31,0)),0)</f>
        <v/>
      </c>
      <c r="S14">
        <f>IF($T14&lt;=$B$9,"A",IF($T14&lt;=$B$10,"B","C"))</f>
        <v/>
      </c>
      <c r="T14" s="100">
        <f>IFERROR($T13+$R14/SUM($G$12:$G$31),0)</f>
        <v/>
      </c>
      <c r="U14" s="100">
        <f>IFERROR($R14/SUM($G$12:$G$31),0)</f>
        <v/>
      </c>
      <c r="V14" s="100">
        <f>IF($S14="A",$U14,NA())</f>
        <v/>
      </c>
      <c r="W14" s="100">
        <f>IF($S14="B",$U14,NA())</f>
        <v/>
      </c>
      <c r="X14" s="100">
        <f>IF($S14="C",$U14,NA())</f>
        <v/>
      </c>
      <c r="Y14" s="100">
        <f>IF($S14="A",$T14,NA())</f>
        <v/>
      </c>
      <c r="Z14" s="100">
        <f>IF(OR($S14="A",$S14="B"),$T14,NA())</f>
        <v/>
      </c>
      <c r="AA14" s="100">
        <f>$T14</f>
        <v/>
      </c>
      <c r="AB14">
        <f>IFERROR($G14+(31-ROW())/1000000000,0)</f>
        <v/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12</v>
      </c>
      <c r="D15" s="49" t="inlineStr">
        <is>
          <t>Toner Impressora Laser</t>
        </is>
      </c>
      <c r="E15" s="50" t="n">
        <v>68</v>
      </c>
      <c r="F15" s="51" t="n">
        <v>680</v>
      </c>
      <c r="G15" s="52">
        <f>IFERROR(E15*F15,0)</f>
        <v/>
      </c>
      <c r="H15" s="53">
        <f>IFERROR(G15/SUM($G$12:$G$31),0)</f>
        <v/>
      </c>
      <c r="I15" s="98">
        <f>IFERROR((SUMPRODUCT(($G$12:$G$31&gt;$G15)*$G$12:$G$31)+SUMPRODUCT(($G$12:$G$31=$G15)*(ROW($G$12:$G$31)&lt;=ROW($G15))*$G$12:$G$31))/SUM($G$12:$G$31),0)</f>
        <v/>
      </c>
      <c r="P15" t="n">
        <v>4</v>
      </c>
      <c r="Q15">
        <f>IFERROR(INDEX($B$12:$B$31,MATCH(LARGE($AB$12:$AB$31,$P15),$AB$12:$AB$31,0)),"")</f>
        <v/>
      </c>
      <c r="R15" s="99">
        <f>IFERROR(INDEX($G$12:$G$31,MATCH(LARGE($AB$12:$AB$31,$P15),$AB$12:$AB$31,0)),0)</f>
        <v/>
      </c>
      <c r="S15">
        <f>IF($T15&lt;=$B$9,"A",IF($T15&lt;=$B$10,"B","C"))</f>
        <v/>
      </c>
      <c r="T15" s="100">
        <f>IFERROR($T14+$R15/SUM($G$12:$G$31),0)</f>
        <v/>
      </c>
      <c r="U15" s="100">
        <f>IFERROR($R15/SUM($G$12:$G$31),0)</f>
        <v/>
      </c>
      <c r="V15" s="100">
        <f>IF($S15="A",$U15,NA())</f>
        <v/>
      </c>
      <c r="W15" s="100">
        <f>IF($S15="B",$U15,NA())</f>
        <v/>
      </c>
      <c r="X15" s="100">
        <f>IF($S15="C",$U15,NA())</f>
        <v/>
      </c>
      <c r="Y15" s="100">
        <f>IF($S15="A",$T15,NA())</f>
        <v/>
      </c>
      <c r="Z15" s="100">
        <f>IF(OR($S15="A",$S15="B"),$T15,NA())</f>
        <v/>
      </c>
      <c r="AA15" s="100">
        <f>$T15</f>
        <v/>
      </c>
      <c r="AB15">
        <f>IFERROR($G15+(31-ROW())/1000000000,0)</f>
        <v/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19</v>
      </c>
      <c r="D16" s="49" t="inlineStr">
        <is>
          <t>Memoria RAM 16GB</t>
        </is>
      </c>
      <c r="E16" s="50" t="n">
        <v>45</v>
      </c>
      <c r="F16" s="51" t="n">
        <v>380</v>
      </c>
      <c r="G16" s="52">
        <f>IFERROR(E16*F16,0)</f>
        <v/>
      </c>
      <c r="H16" s="53">
        <f>IFERROR(G16/SUM($G$12:$G$31),0)</f>
        <v/>
      </c>
      <c r="I16" s="98">
        <f>IFERROR((SUMPRODUCT(($G$12:$G$31&gt;$G16)*$G$12:$G$31)+SUMPRODUCT(($G$12:$G$31=$G16)*(ROW($G$12:$G$31)&lt;=ROW($G16))*$G$12:$G$31))/SUM($G$12:$G$31),0)</f>
        <v/>
      </c>
      <c r="P16" t="n">
        <v>5</v>
      </c>
      <c r="Q16">
        <f>IFERROR(INDEX($B$12:$B$31,MATCH(LARGE($AB$12:$AB$31,$P16),$AB$12:$AB$31,0)),"")</f>
        <v/>
      </c>
      <c r="R16" s="99">
        <f>IFERROR(INDEX($G$12:$G$31,MATCH(LARGE($AB$12:$AB$31,$P16),$AB$12:$AB$31,0)),0)</f>
        <v/>
      </c>
      <c r="S16">
        <f>IF($T16&lt;=$B$9,"A",IF($T16&lt;=$B$10,"B","C"))</f>
        <v/>
      </c>
      <c r="T16" s="100">
        <f>IFERROR($T15+$R16/SUM($G$12:$G$31),0)</f>
        <v/>
      </c>
      <c r="U16" s="100">
        <f>IFERROR($R16/SUM($G$12:$G$31),0)</f>
        <v/>
      </c>
      <c r="V16" s="100">
        <f>IF($S16="A",$U16,NA())</f>
        <v/>
      </c>
      <c r="W16" s="100">
        <f>IF($S16="B",$U16,NA())</f>
        <v/>
      </c>
      <c r="X16" s="100">
        <f>IF($S16="C",$U16,NA())</f>
        <v/>
      </c>
      <c r="Y16" s="100">
        <f>IF($S16="A",$T16,NA())</f>
        <v/>
      </c>
      <c r="Z16" s="100">
        <f>IF(OR($S16="A",$S16="B"),$T16,NA())</f>
        <v/>
      </c>
      <c r="AA16" s="100">
        <f>$T16</f>
        <v/>
      </c>
      <c r="AB16">
        <f>IFERROR($G16+(31-ROW())/1000000000,0)</f>
        <v/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4</v>
      </c>
      <c r="D17" s="49" t="inlineStr">
        <is>
          <t>Monitor LED 24"</t>
        </is>
      </c>
      <c r="E17" s="50" t="n">
        <v>20</v>
      </c>
      <c r="F17" s="51" t="n">
        <v>850</v>
      </c>
      <c r="G17" s="52">
        <f>IFERROR(E17*F17,0)</f>
        <v/>
      </c>
      <c r="H17" s="53">
        <f>IFERROR(G17/SUM($G$12:$G$31),0)</f>
        <v/>
      </c>
      <c r="I17" s="98">
        <f>IFERROR((SUMPRODUCT(($G$12:$G$31&gt;$G17)*$G$12:$G$31)+SUMPRODUCT(($G$12:$G$31=$G17)*(ROW($G$12:$G$31)&lt;=ROW($G17))*$G$12:$G$31))/SUM($G$12:$G$31),0)</f>
        <v/>
      </c>
      <c r="P17" t="n">
        <v>6</v>
      </c>
      <c r="Q17">
        <f>IFERROR(INDEX($B$12:$B$31,MATCH(LARGE($AB$12:$AB$31,$P17),$AB$12:$AB$31,0)),"")</f>
        <v/>
      </c>
      <c r="R17" s="99">
        <f>IFERROR(INDEX($G$12:$G$31,MATCH(LARGE($AB$12:$AB$31,$P17),$AB$12:$AB$31,0)),0)</f>
        <v/>
      </c>
      <c r="S17">
        <f>IF($T17&lt;=$B$9,"A",IF($T17&lt;=$B$10,"B","C"))</f>
        <v/>
      </c>
      <c r="T17" s="100">
        <f>IFERROR($T16+$R17/SUM($G$12:$G$31),0)</f>
        <v/>
      </c>
      <c r="U17" s="100">
        <f>IFERROR($R17/SUM($G$12:$G$31),0)</f>
        <v/>
      </c>
      <c r="V17" s="100">
        <f>IF($S17="A",$U17,NA())</f>
        <v/>
      </c>
      <c r="W17" s="100">
        <f>IF($S17="B",$U17,NA())</f>
        <v/>
      </c>
      <c r="X17" s="100">
        <f>IF($S17="C",$U17,NA())</f>
        <v/>
      </c>
      <c r="Y17" s="100">
        <f>IF($S17="A",$T17,NA())</f>
        <v/>
      </c>
      <c r="Z17" s="100">
        <f>IF(OR($S17="A",$S17="B"),$T17,NA())</f>
        <v/>
      </c>
      <c r="AA17" s="100">
        <f>$T17</f>
        <v/>
      </c>
      <c r="AB17">
        <f>IFERROR($G17+(31-ROW())/1000000000,0)</f>
        <v/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14</v>
      </c>
      <c r="D18" s="49" t="inlineStr">
        <is>
          <t>Webcam Full HD</t>
        </is>
      </c>
      <c r="E18" s="50" t="n">
        <v>82</v>
      </c>
      <c r="F18" s="51" t="n">
        <v>180</v>
      </c>
      <c r="G18" s="52">
        <f>IFERROR(E18*F18,0)</f>
        <v/>
      </c>
      <c r="H18" s="53">
        <f>IFERROR(G18/SUM($G$12:$G$31),0)</f>
        <v/>
      </c>
      <c r="I18" s="98">
        <f>IFERROR((SUMPRODUCT(($G$12:$G$31&gt;$G18)*$G$12:$G$31)+SUMPRODUCT(($G$12:$G$31=$G18)*(ROW($G$12:$G$31)&lt;=ROW($G18))*$G$12:$G$31))/SUM($G$12:$G$31),0)</f>
        <v/>
      </c>
      <c r="P18" t="n">
        <v>7</v>
      </c>
      <c r="Q18">
        <f>IFERROR(INDEX($B$12:$B$31,MATCH(LARGE($AB$12:$AB$31,$P18),$AB$12:$AB$31,0)),"")</f>
        <v/>
      </c>
      <c r="R18" s="99">
        <f>IFERROR(INDEX($G$12:$G$31,MATCH(LARGE($AB$12:$AB$31,$P18),$AB$12:$AB$31,0)),0)</f>
        <v/>
      </c>
      <c r="S18">
        <f>IF($T18&lt;=$B$9,"A",IF($T18&lt;=$B$10,"B","C"))</f>
        <v/>
      </c>
      <c r="T18" s="100">
        <f>IFERROR($T17+$R18/SUM($G$12:$G$31),0)</f>
        <v/>
      </c>
      <c r="U18" s="100">
        <f>IFERROR($R18/SUM($G$12:$G$31),0)</f>
        <v/>
      </c>
      <c r="V18" s="100">
        <f>IF($S18="A",$U18,NA())</f>
        <v/>
      </c>
      <c r="W18" s="100">
        <f>IF($S18="B",$U18,NA())</f>
        <v/>
      </c>
      <c r="X18" s="100">
        <f>IF($S18="C",$U18,NA())</f>
        <v/>
      </c>
      <c r="Y18" s="100">
        <f>IF($S18="A",$T18,NA())</f>
        <v/>
      </c>
      <c r="Z18" s="100">
        <f>IF(OR($S18="A",$S18="B"),$T18,NA())</f>
        <v/>
      </c>
      <c r="AA18" s="100">
        <f>$T18</f>
        <v/>
      </c>
      <c r="AB18">
        <f>IFERROR($G18+(31-ROW())/1000000000,0)</f>
        <v/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11</v>
      </c>
      <c r="D19" s="49" t="inlineStr">
        <is>
          <t>Roteador Wi-Fi 6</t>
        </is>
      </c>
      <c r="E19" s="50" t="n">
        <v>15</v>
      </c>
      <c r="F19" s="51" t="n">
        <v>650</v>
      </c>
      <c r="G19" s="52">
        <f>IFERROR(E19*F19,0)</f>
        <v/>
      </c>
      <c r="H19" s="53">
        <f>IFERROR(G19/SUM($G$12:$G$31),0)</f>
        <v/>
      </c>
      <c r="I19" s="98">
        <f>IFERROR((SUMPRODUCT(($G$12:$G$31&gt;$G19)*$G$12:$G$31)+SUMPRODUCT(($G$12:$G$31=$G19)*(ROW($G$12:$G$31)&lt;=ROW($G19))*$G$12:$G$31))/SUM($G$12:$G$31),0)</f>
        <v/>
      </c>
      <c r="P19" t="n">
        <v>8</v>
      </c>
      <c r="Q19">
        <f>IFERROR(INDEX($B$12:$B$31,MATCH(LARGE($AB$12:$AB$31,$P19),$AB$12:$AB$31,0)),"")</f>
        <v/>
      </c>
      <c r="R19" s="99">
        <f>IFERROR(INDEX($G$12:$G$31,MATCH(LARGE($AB$12:$AB$31,$P19),$AB$12:$AB$31,0)),0)</f>
        <v/>
      </c>
      <c r="S19">
        <f>IF($T19&lt;=$B$9,"A",IF($T19&lt;=$B$10,"B","C"))</f>
        <v/>
      </c>
      <c r="T19" s="100">
        <f>IFERROR($T18+$R19/SUM($G$12:$G$31),0)</f>
        <v/>
      </c>
      <c r="U19" s="100">
        <f>IFERROR($R19/SUM($G$12:$G$31),0)</f>
        <v/>
      </c>
      <c r="V19" s="100">
        <f>IF($S19="A",$U19,NA())</f>
        <v/>
      </c>
      <c r="W19" s="100">
        <f>IF($S19="B",$U19,NA())</f>
        <v/>
      </c>
      <c r="X19" s="100">
        <f>IF($S19="C",$U19,NA())</f>
        <v/>
      </c>
      <c r="Y19" s="100">
        <f>IF($S19="A",$T19,NA())</f>
        <v/>
      </c>
      <c r="Z19" s="100">
        <f>IF(OR($S19="A",$S19="B"),$T19,NA())</f>
        <v/>
      </c>
      <c r="AA19" s="100">
        <f>$T19</f>
        <v/>
      </c>
      <c r="AB19">
        <f>IFERROR($G19+(31-ROW())/1000000000,0)</f>
        <v/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15</v>
      </c>
      <c r="D20" s="49" t="inlineStr">
        <is>
          <t>SSD 480GB Sata</t>
        </is>
      </c>
      <c r="E20" s="50" t="n">
        <v>55</v>
      </c>
      <c r="F20" s="51" t="n">
        <v>190</v>
      </c>
      <c r="G20" s="52">
        <f>IFERROR(E20*F20,0)</f>
        <v/>
      </c>
      <c r="H20" s="53">
        <f>IFERROR(G20/SUM($G$12:$G$31),0)</f>
        <v/>
      </c>
      <c r="I20" s="98">
        <f>IFERROR((SUMPRODUCT(($G$12:$G$31&gt;$G20)*$G$12:$G$31)+SUMPRODUCT(($G$12:$G$31=$G20)*(ROW($G$12:$G$31)&lt;=ROW($G20))*$G$12:$G$31))/SUM($G$12:$G$31),0)</f>
        <v/>
      </c>
      <c r="P20" t="n">
        <v>9</v>
      </c>
      <c r="Q20">
        <f>IFERROR(INDEX($B$12:$B$31,MATCH(LARGE($AB$12:$AB$31,$P20),$AB$12:$AB$31,0)),"")</f>
        <v/>
      </c>
      <c r="R20" s="99">
        <f>IFERROR(INDEX($G$12:$G$31,MATCH(LARGE($AB$12:$AB$31,$P20),$AB$12:$AB$31,0)),0)</f>
        <v/>
      </c>
      <c r="S20">
        <f>IF($T20&lt;=$B$9,"A",IF($T20&lt;=$B$10,"B","C"))</f>
        <v/>
      </c>
      <c r="T20" s="100">
        <f>IFERROR($T19+$R20/SUM($G$12:$G$31),0)</f>
        <v/>
      </c>
      <c r="U20" s="100">
        <f>IFERROR($R20/SUM($G$12:$G$31),0)</f>
        <v/>
      </c>
      <c r="V20" s="100">
        <f>IF($S20="A",$U20,NA())</f>
        <v/>
      </c>
      <c r="W20" s="100">
        <f>IF($S20="B",$U20,NA())</f>
        <v/>
      </c>
      <c r="X20" s="100">
        <f>IF($S20="C",$U20,NA())</f>
        <v/>
      </c>
      <c r="Y20" s="100">
        <f>IF($S20="A",$T20,NA())</f>
        <v/>
      </c>
      <c r="Z20" s="100">
        <f>IF(OR($S20="A",$S20="B"),$T20,NA())</f>
        <v/>
      </c>
      <c r="AA20" s="100">
        <f>$T20</f>
        <v/>
      </c>
      <c r="AB20">
        <f>IFERROR($G20+(31-ROW())/1000000000,0)</f>
        <v/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6</v>
      </c>
      <c r="D21" s="49" t="inlineStr">
        <is>
          <t>Nobreak 1500VA</t>
        </is>
      </c>
      <c r="E21" s="50" t="n">
        <v>8</v>
      </c>
      <c r="F21" s="51" t="n">
        <v>1200</v>
      </c>
      <c r="G21" s="52">
        <f>IFERROR(E21*F21,0)</f>
        <v/>
      </c>
      <c r="H21" s="53">
        <f>IFERROR(G21/SUM($G$12:$G$31),0)</f>
        <v/>
      </c>
      <c r="I21" s="98">
        <f>IFERROR((SUMPRODUCT(($G$12:$G$31&gt;$G21)*$G$12:$G$31)+SUMPRODUCT(($G$12:$G$31=$G21)*(ROW($G$12:$G$31)&lt;=ROW($G21))*$G$12:$G$31))/SUM($G$12:$G$31),0)</f>
        <v/>
      </c>
      <c r="P21" t="n">
        <v>10</v>
      </c>
      <c r="Q21">
        <f>IFERROR(INDEX($B$12:$B$31,MATCH(LARGE($AB$12:$AB$31,$P21),$AB$12:$AB$31,0)),"")</f>
        <v/>
      </c>
      <c r="R21" s="99">
        <f>IFERROR(INDEX($G$12:$G$31,MATCH(LARGE($AB$12:$AB$31,$P21),$AB$12:$AB$31,0)),0)</f>
        <v/>
      </c>
      <c r="S21">
        <f>IF($T21&lt;=$B$9,"A",IF($T21&lt;=$B$10,"B","C"))</f>
        <v/>
      </c>
      <c r="T21" s="100">
        <f>IFERROR($T20+$R21/SUM($G$12:$G$31),0)</f>
        <v/>
      </c>
      <c r="U21" s="100">
        <f>IFERROR($R21/SUM($G$12:$G$31),0)</f>
        <v/>
      </c>
      <c r="V21" s="100">
        <f>IF($S21="A",$U21,NA())</f>
        <v/>
      </c>
      <c r="W21" s="100">
        <f>IF($S21="B",$U21,NA())</f>
        <v/>
      </c>
      <c r="X21" s="100">
        <f>IF($S21="C",$U21,NA())</f>
        <v/>
      </c>
      <c r="Y21" s="100">
        <f>IF($S21="A",$T21,NA())</f>
        <v/>
      </c>
      <c r="Z21" s="100">
        <f>IF(OR($S21="A",$S21="B"),$T21,NA())</f>
        <v/>
      </c>
      <c r="AA21" s="100">
        <f>$T21</f>
        <v/>
      </c>
      <c r="AB21">
        <f>IFERROR($G21+(31-ROW())/1000000000,0)</f>
        <v/>
      </c>
    </row>
    <row r="22" ht="18" customHeight="1">
      <c r="A22" s="47">
        <f>IF($I22&lt;=$B$9,"A",IF($I22&lt;=$B$10,"B","C"))</f>
        <v/>
      </c>
      <c r="B22" s="48" t="inlineStr">
        <is>
          <t>SKU11</t>
        </is>
      </c>
      <c r="C22" s="48" t="n">
        <v>20</v>
      </c>
      <c r="D22" s="49" t="inlineStr">
        <is>
          <t>HD Externo 2TB</t>
        </is>
      </c>
      <c r="E22" s="50" t="n">
        <v>18</v>
      </c>
      <c r="F22" s="51" t="n">
        <v>420</v>
      </c>
      <c r="G22" s="52">
        <f>IFERROR(E22*F22,0)</f>
        <v/>
      </c>
      <c r="H22" s="53">
        <f>IFERROR(G22/SUM($G$12:$G$31),0)</f>
        <v/>
      </c>
      <c r="I22" s="98">
        <f>IFERROR((SUMPRODUCT(($G$12:$G$31&gt;$G22)*$G$12:$G$31)+SUMPRODUCT(($G$12:$G$31=$G22)*(ROW($G$12:$G$31)&lt;=ROW($G22))*$G$12:$G$31))/SUM($G$12:$G$31),0)</f>
        <v/>
      </c>
      <c r="P22" t="n">
        <v>11</v>
      </c>
      <c r="Q22">
        <f>IFERROR(INDEX($B$12:$B$31,MATCH(LARGE($AB$12:$AB$31,$P22),$AB$12:$AB$31,0)),"")</f>
        <v/>
      </c>
      <c r="R22" s="99">
        <f>IFERROR(INDEX($G$12:$G$31,MATCH(LARGE($AB$12:$AB$31,$P22),$AB$12:$AB$31,0)),0)</f>
        <v/>
      </c>
      <c r="S22">
        <f>IF($T22&lt;=$B$9,"A",IF($T22&lt;=$B$10,"B","C"))</f>
        <v/>
      </c>
      <c r="T22" s="100">
        <f>IFERROR($T21+$R22/SUM($G$12:$G$31),0)</f>
        <v/>
      </c>
      <c r="U22" s="100">
        <f>IFERROR($R22/SUM($G$12:$G$31),0)</f>
        <v/>
      </c>
      <c r="V22" s="100">
        <f>IF($S22="A",$U22,NA())</f>
        <v/>
      </c>
      <c r="W22" s="100">
        <f>IF($S22="B",$U22,NA())</f>
        <v/>
      </c>
      <c r="X22" s="100">
        <f>IF($S22="C",$U22,NA())</f>
        <v/>
      </c>
      <c r="Y22" s="100">
        <f>IF($S22="A",$T22,NA())</f>
        <v/>
      </c>
      <c r="Z22" s="100">
        <f>IF(OR($S22="A",$S22="B"),$T22,NA())</f>
        <v/>
      </c>
      <c r="AA22" s="100">
        <f>$T22</f>
        <v/>
      </c>
      <c r="AB22">
        <f>IFERROR($G22+(31-ROW())/1000000000,0)</f>
        <v/>
      </c>
    </row>
    <row r="23" ht="18" customHeight="1">
      <c r="A23" s="47">
        <f>IF($I23&lt;=$B$9,"A",IF($I23&lt;=$B$10,"B","C"))</f>
        <v/>
      </c>
      <c r="B23" s="48" t="inlineStr">
        <is>
          <t>SKU12</t>
        </is>
      </c>
      <c r="C23" s="48" t="n">
        <v>5</v>
      </c>
      <c r="D23" s="49" t="inlineStr">
        <is>
          <t>Teclado Mecanico RGB</t>
        </is>
      </c>
      <c r="E23" s="50" t="n">
        <v>30</v>
      </c>
      <c r="F23" s="51" t="n">
        <v>250</v>
      </c>
      <c r="G23" s="52">
        <f>IFERROR(E23*F23,0)</f>
        <v/>
      </c>
      <c r="H23" s="53">
        <f>IFERROR(G23/SUM($G$12:$G$31),0)</f>
        <v/>
      </c>
      <c r="I23" s="98">
        <f>IFERROR((SUMPRODUCT(($G$12:$G$31&gt;$G23)*$G$12:$G$31)+SUMPRODUCT(($G$12:$G$31=$G23)*(ROW($G$12:$G$31)&lt;=ROW($G23))*$G$12:$G$31))/SUM($G$12:$G$31),0)</f>
        <v/>
      </c>
      <c r="P23" t="n">
        <v>12</v>
      </c>
      <c r="Q23">
        <f>IFERROR(INDEX($B$12:$B$31,MATCH(LARGE($AB$12:$AB$31,$P23),$AB$12:$AB$31,0)),"")</f>
        <v/>
      </c>
      <c r="R23" s="99">
        <f>IFERROR(INDEX($G$12:$G$31,MATCH(LARGE($AB$12:$AB$31,$P23),$AB$12:$AB$31,0)),0)</f>
        <v/>
      </c>
      <c r="S23">
        <f>IF($T23&lt;=$B$9,"A",IF($T23&lt;=$B$10,"B","C"))</f>
        <v/>
      </c>
      <c r="T23" s="100">
        <f>IFERROR($T22+$R23/SUM($G$12:$G$31),0)</f>
        <v/>
      </c>
      <c r="U23" s="100">
        <f>IFERROR($R23/SUM($G$12:$G$31),0)</f>
        <v/>
      </c>
      <c r="V23" s="100">
        <f>IF($S23="A",$U23,NA())</f>
        <v/>
      </c>
      <c r="W23" s="100">
        <f>IF($S23="B",$U23,NA())</f>
        <v/>
      </c>
      <c r="X23" s="100">
        <f>IF($S23="C",$U23,NA())</f>
        <v/>
      </c>
      <c r="Y23" s="100">
        <f>IF($S23="A",$T23,NA())</f>
        <v/>
      </c>
      <c r="Z23" s="100">
        <f>IF(OR($S23="A",$S23="B"),$T23,NA())</f>
        <v/>
      </c>
      <c r="AA23" s="100">
        <f>$T23</f>
        <v/>
      </c>
      <c r="AB23">
        <f>IFERROR($G23+(31-ROW())/1000000000,0)</f>
        <v/>
      </c>
    </row>
    <row r="24" ht="18" customHeight="1">
      <c r="A24" s="47">
        <f>IF($I24&lt;=$B$9,"A",IF($I24&lt;=$B$10,"B","C"))</f>
        <v/>
      </c>
      <c r="B24" s="48" t="inlineStr">
        <is>
          <t>SKU13</t>
        </is>
      </c>
      <c r="C24" s="48" t="n">
        <v>9</v>
      </c>
      <c r="D24" s="49" t="inlineStr">
        <is>
          <t>Pen Drive 64GB</t>
        </is>
      </c>
      <c r="E24" s="50" t="n">
        <v>160</v>
      </c>
      <c r="F24" s="51" t="n">
        <v>45</v>
      </c>
      <c r="G24" s="52">
        <f>IFERROR(E24*F24,0)</f>
        <v/>
      </c>
      <c r="H24" s="53">
        <f>IFERROR(G24/SUM($G$12:$G$31),0)</f>
        <v/>
      </c>
      <c r="I24" s="98">
        <f>IFERROR((SUMPRODUCT(($G$12:$G$31&gt;$G24)*$G$12:$G$31)+SUMPRODUCT(($G$12:$G$31=$G24)*(ROW($G$12:$G$31)&lt;=ROW($G24))*$G$12:$G$31))/SUM($G$12:$G$31),0)</f>
        <v/>
      </c>
      <c r="P24" t="n">
        <v>13</v>
      </c>
      <c r="Q24">
        <f>IFERROR(INDEX($B$12:$B$31,MATCH(LARGE($AB$12:$AB$31,$P24),$AB$12:$AB$31,0)),"")</f>
        <v/>
      </c>
      <c r="R24" s="99">
        <f>IFERROR(INDEX($G$12:$G$31,MATCH(LARGE($AB$12:$AB$31,$P24),$AB$12:$AB$31,0)),0)</f>
        <v/>
      </c>
      <c r="S24">
        <f>IF($T24&lt;=$B$9,"A",IF($T24&lt;=$B$10,"B","C"))</f>
        <v/>
      </c>
      <c r="T24" s="100">
        <f>IFERROR($T23+$R24/SUM($G$12:$G$31),0)</f>
        <v/>
      </c>
      <c r="U24" s="100">
        <f>IFERROR($R24/SUM($G$12:$G$31),0)</f>
        <v/>
      </c>
      <c r="V24" s="100">
        <f>IF($S24="A",$U24,NA())</f>
        <v/>
      </c>
      <c r="W24" s="100">
        <f>IF($S24="B",$U24,NA())</f>
        <v/>
      </c>
      <c r="X24" s="100">
        <f>IF($S24="C",$U24,NA())</f>
        <v/>
      </c>
      <c r="Y24" s="100">
        <f>IF($S24="A",$T24,NA())</f>
        <v/>
      </c>
      <c r="Z24" s="100">
        <f>IF(OR($S24="A",$S24="B"),$T24,NA())</f>
        <v/>
      </c>
      <c r="AA24" s="100">
        <f>$T24</f>
        <v/>
      </c>
      <c r="AB24">
        <f>IFERROR($G24+(31-ROW())/1000000000,0)</f>
        <v/>
      </c>
    </row>
    <row r="25" ht="18" customHeight="1">
      <c r="A25" s="47">
        <f>IF($I25&lt;=$B$9,"A",IF($I25&lt;=$B$10,"B","C"))</f>
        <v/>
      </c>
      <c r="B25" s="48" t="inlineStr">
        <is>
          <t>SKU14</t>
        </is>
      </c>
      <c r="C25" s="48" t="n">
        <v>13</v>
      </c>
      <c r="D25" s="49" t="inlineStr">
        <is>
          <t>Headset com Microfone</t>
        </is>
      </c>
      <c r="E25" s="50" t="n">
        <v>64</v>
      </c>
      <c r="F25" s="51" t="n">
        <v>110</v>
      </c>
      <c r="G25" s="52">
        <f>IFERROR(E25*F25,0)</f>
        <v/>
      </c>
      <c r="H25" s="53">
        <f>IFERROR(G25/SUM($G$12:$G$31),0)</f>
        <v/>
      </c>
      <c r="I25" s="98">
        <f>IFERROR((SUMPRODUCT(($G$12:$G$31&gt;$G25)*$G$12:$G$31)+SUMPRODUCT(($G$12:$G$31=$G25)*(ROW($G$12:$G$31)&lt;=ROW($G25))*$G$12:$G$31))/SUM($G$12:$G$31),0)</f>
        <v/>
      </c>
      <c r="P25" t="n">
        <v>14</v>
      </c>
      <c r="Q25">
        <f>IFERROR(INDEX($B$12:$B$31,MATCH(LARGE($AB$12:$AB$31,$P25),$AB$12:$AB$31,0)),"")</f>
        <v/>
      </c>
      <c r="R25" s="99">
        <f>IFERROR(INDEX($G$12:$G$31,MATCH(LARGE($AB$12:$AB$31,$P25),$AB$12:$AB$31,0)),0)</f>
        <v/>
      </c>
      <c r="S25">
        <f>IF($T25&lt;=$B$9,"A",IF($T25&lt;=$B$10,"B","C"))</f>
        <v/>
      </c>
      <c r="T25" s="100">
        <f>IFERROR($T24+$R25/SUM($G$12:$G$31),0)</f>
        <v/>
      </c>
      <c r="U25" s="100">
        <f>IFERROR($R25/SUM($G$12:$G$31),0)</f>
        <v/>
      </c>
      <c r="V25" s="100">
        <f>IF($S25="A",$U25,NA())</f>
        <v/>
      </c>
      <c r="W25" s="100">
        <f>IF($S25="B",$U25,NA())</f>
        <v/>
      </c>
      <c r="X25" s="100">
        <f>IF($S25="C",$U25,NA())</f>
        <v/>
      </c>
      <c r="Y25" s="100">
        <f>IF($S25="A",$T25,NA())</f>
        <v/>
      </c>
      <c r="Z25" s="100">
        <f>IF(OR($S25="A",$S25="B"),$T25,NA())</f>
        <v/>
      </c>
      <c r="AA25" s="100">
        <f>$T25</f>
        <v/>
      </c>
      <c r="AB25">
        <f>IFERROR($G25+(31-ROW())/1000000000,0)</f>
        <v/>
      </c>
    </row>
    <row r="26" ht="18" customHeight="1">
      <c r="A26" s="47">
        <f>IF($I26&lt;=$B$9,"A",IF($I26&lt;=$B$10,"B","C"))</f>
        <v/>
      </c>
      <c r="B26" s="48" t="inlineStr">
        <is>
          <t>SKU15</t>
        </is>
      </c>
      <c r="C26" s="48" t="n">
        <v>7</v>
      </c>
      <c r="D26" s="49" t="inlineStr">
        <is>
          <t>Pacote de Papel A4</t>
        </is>
      </c>
      <c r="E26" s="50" t="n">
        <v>237</v>
      </c>
      <c r="F26" s="51" t="n">
        <v>28</v>
      </c>
      <c r="G26" s="52">
        <f>IFERROR(E26*F26,0)</f>
        <v/>
      </c>
      <c r="H26" s="53">
        <f>IFERROR(G26/SUM($G$12:$G$31),0)</f>
        <v/>
      </c>
      <c r="I26" s="98">
        <f>IFERROR((SUMPRODUCT(($G$12:$G$31&gt;$G26)*$G$12:$G$31)+SUMPRODUCT(($G$12:$G$31=$G26)*(ROW($G$12:$G$31)&lt;=ROW($G26))*$G$12:$G$31))/SUM($G$12:$G$31),0)</f>
        <v/>
      </c>
      <c r="P26" t="n">
        <v>15</v>
      </c>
      <c r="Q26">
        <f>IFERROR(INDEX($B$12:$B$31,MATCH(LARGE($AB$12:$AB$31,$P26),$AB$12:$AB$31,0)),"")</f>
        <v/>
      </c>
      <c r="R26" s="99">
        <f>IFERROR(INDEX($G$12:$G$31,MATCH(LARGE($AB$12:$AB$31,$P26),$AB$12:$AB$31,0)),0)</f>
        <v/>
      </c>
      <c r="S26">
        <f>IF($T26&lt;=$B$9,"A",IF($T26&lt;=$B$10,"B","C"))</f>
        <v/>
      </c>
      <c r="T26" s="100">
        <f>IFERROR($T25+$R26/SUM($G$12:$G$31),0)</f>
        <v/>
      </c>
      <c r="U26" s="100">
        <f>IFERROR($R26/SUM($G$12:$G$31),0)</f>
        <v/>
      </c>
      <c r="V26" s="100">
        <f>IF($S26="A",$U26,NA())</f>
        <v/>
      </c>
      <c r="W26" s="100">
        <f>IF($S26="B",$U26,NA())</f>
        <v/>
      </c>
      <c r="X26" s="100">
        <f>IF($S26="C",$U26,NA())</f>
        <v/>
      </c>
      <c r="Y26" s="100">
        <f>IF($S26="A",$T26,NA())</f>
        <v/>
      </c>
      <c r="Z26" s="100">
        <f>IF(OR($S26="A",$S26="B"),$T26,NA())</f>
        <v/>
      </c>
      <c r="AA26" s="100">
        <f>$T26</f>
        <v/>
      </c>
      <c r="AB26">
        <f>IFERROR($G26+(31-ROW())/1000000000,0)</f>
        <v/>
      </c>
    </row>
    <row r="27" ht="18" customHeight="1">
      <c r="A27" s="47">
        <f>IF($I27&lt;=$B$9,"A",IF($I27&lt;=$B$10,"B","C"))</f>
        <v/>
      </c>
      <c r="B27" s="48" t="inlineStr">
        <is>
          <t>SKU16</t>
        </is>
      </c>
      <c r="C27" s="48" t="n">
        <v>18</v>
      </c>
      <c r="D27" s="49" t="inlineStr">
        <is>
          <t>Filtro de Linha 5 Tom.</t>
        </is>
      </c>
      <c r="E27" s="50" t="n">
        <v>110</v>
      </c>
      <c r="F27" s="51" t="n">
        <v>40</v>
      </c>
      <c r="G27" s="52">
        <f>IFERROR(E27*F27,0)</f>
        <v/>
      </c>
      <c r="H27" s="53">
        <f>IFERROR(G27/SUM($G$12:$G$31),0)</f>
        <v/>
      </c>
      <c r="I27" s="98">
        <f>IFERROR((SUMPRODUCT(($G$12:$G$31&gt;$G27)*$G$12:$G$31)+SUMPRODUCT(($G$12:$G$31=$G27)*(ROW($G$12:$G$31)&lt;=ROW($G27))*$G$12:$G$31))/SUM($G$12:$G$31),0)</f>
        <v/>
      </c>
      <c r="P27" t="n">
        <v>16</v>
      </c>
      <c r="Q27">
        <f>IFERROR(INDEX($B$12:$B$31,MATCH(LARGE($AB$12:$AB$31,$P27),$AB$12:$AB$31,0)),"")</f>
        <v/>
      </c>
      <c r="R27" s="99">
        <f>IFERROR(INDEX($G$12:$G$31,MATCH(LARGE($AB$12:$AB$31,$P27),$AB$12:$AB$31,0)),0)</f>
        <v/>
      </c>
      <c r="S27">
        <f>IF($T27&lt;=$B$9,"A",IF($T27&lt;=$B$10,"B","C"))</f>
        <v/>
      </c>
      <c r="T27" s="100">
        <f>IFERROR($T26+$R27/SUM($G$12:$G$31),0)</f>
        <v/>
      </c>
      <c r="U27" s="100">
        <f>IFERROR($R27/SUM($G$12:$G$31),0)</f>
        <v/>
      </c>
      <c r="V27" s="100">
        <f>IF($S27="A",$U27,NA())</f>
        <v/>
      </c>
      <c r="W27" s="100">
        <f>IF($S27="B",$U27,NA())</f>
        <v/>
      </c>
      <c r="X27" s="100">
        <f>IF($S27="C",$U27,NA())</f>
        <v/>
      </c>
      <c r="Y27" s="100">
        <f>IF($S27="A",$T27,NA())</f>
        <v/>
      </c>
      <c r="Z27" s="100">
        <f>IF(OR($S27="A",$S27="B"),$T27,NA())</f>
        <v/>
      </c>
      <c r="AA27" s="100">
        <f>$T27</f>
        <v/>
      </c>
      <c r="AB27">
        <f>IFERROR($G27+(31-ROW())/1000000000,0)</f>
        <v/>
      </c>
    </row>
    <row r="28" ht="18" customHeight="1">
      <c r="A28" s="47">
        <f>IF($I28&lt;=$B$9,"A",IF($I28&lt;=$B$10,"B","C"))</f>
        <v/>
      </c>
      <c r="B28" s="48" t="inlineStr">
        <is>
          <t>SKU17</t>
        </is>
      </c>
      <c r="C28" s="48" t="n">
        <v>1</v>
      </c>
      <c r="D28" s="49" t="inlineStr">
        <is>
          <t>Cabo HDMI 2m</t>
        </is>
      </c>
      <c r="E28" s="50" t="n">
        <v>150</v>
      </c>
      <c r="F28" s="51" t="n">
        <v>25</v>
      </c>
      <c r="G28" s="52">
        <f>IFERROR(E28*F28,0)</f>
        <v/>
      </c>
      <c r="H28" s="53">
        <f>IFERROR(G28/SUM($G$12:$G$31),0)</f>
        <v/>
      </c>
      <c r="I28" s="98">
        <f>IFERROR((SUMPRODUCT(($G$12:$G$31&gt;$G28)*$G$12:$G$31)+SUMPRODUCT(($G$12:$G$31=$G28)*(ROW($G$12:$G$31)&lt;=ROW($G28))*$G$12:$G$31))/SUM($G$12:$G$31),0)</f>
        <v/>
      </c>
      <c r="P28" t="n">
        <v>17</v>
      </c>
      <c r="Q28">
        <f>IFERROR(INDEX($B$12:$B$31,MATCH(LARGE($AB$12:$AB$31,$P28),$AB$12:$AB$31,0)),"")</f>
        <v/>
      </c>
      <c r="R28" s="99">
        <f>IFERROR(INDEX($G$12:$G$31,MATCH(LARGE($AB$12:$AB$31,$P28),$AB$12:$AB$31,0)),0)</f>
        <v/>
      </c>
      <c r="S28">
        <f>IF($T28&lt;=$B$9,"A",IF($T28&lt;=$B$10,"B","C"))</f>
        <v/>
      </c>
      <c r="T28" s="100">
        <f>IFERROR($T27+$R28/SUM($G$12:$G$31),0)</f>
        <v/>
      </c>
      <c r="U28" s="100">
        <f>IFERROR($R28/SUM($G$12:$G$31),0)</f>
        <v/>
      </c>
      <c r="V28" s="100">
        <f>IF($S28="A",$U28,NA())</f>
        <v/>
      </c>
      <c r="W28" s="100">
        <f>IF($S28="B",$U28,NA())</f>
        <v/>
      </c>
      <c r="X28" s="100">
        <f>IF($S28="C",$U28,NA())</f>
        <v/>
      </c>
      <c r="Y28" s="100">
        <f>IF($S28="A",$T28,NA())</f>
        <v/>
      </c>
      <c r="Z28" s="100">
        <f>IF(OR($S28="A",$S28="B"),$T28,NA())</f>
        <v/>
      </c>
      <c r="AA28" s="100">
        <f>$T28</f>
        <v/>
      </c>
      <c r="AB28">
        <f>IFERROR($G28+(31-ROW())/1000000000,0)</f>
        <v/>
      </c>
    </row>
    <row r="29" ht="18" customHeight="1">
      <c r="A29" s="47">
        <f>IF($I29&lt;=$B$9,"A",IF($I29&lt;=$B$10,"B","C"))</f>
        <v/>
      </c>
      <c r="B29" s="48" t="inlineStr">
        <is>
          <t>SKU18</t>
        </is>
      </c>
      <c r="C29" s="48" t="n">
        <v>16</v>
      </c>
      <c r="D29" s="49" t="inlineStr">
        <is>
          <t>Adaptador USB-C</t>
        </is>
      </c>
      <c r="E29" s="50" t="n">
        <v>90</v>
      </c>
      <c r="F29" s="51" t="n">
        <v>35</v>
      </c>
      <c r="G29" s="52">
        <f>IFERROR(E29*F29,0)</f>
        <v/>
      </c>
      <c r="H29" s="53">
        <f>IFERROR(G29/SUM($G$12:$G$31),0)</f>
        <v/>
      </c>
      <c r="I29" s="98">
        <f>IFERROR((SUMPRODUCT(($G$12:$G$31&gt;$G29)*$G$12:$G$31)+SUMPRODUCT(($G$12:$G$31=$G29)*(ROW($G$12:$G$31)&lt;=ROW($G29))*$G$12:$G$31))/SUM($G$12:$G$31),0)</f>
        <v/>
      </c>
      <c r="P29" t="n">
        <v>18</v>
      </c>
      <c r="Q29">
        <f>IFERROR(INDEX($B$12:$B$31,MATCH(LARGE($AB$12:$AB$31,$P29),$AB$12:$AB$31,0)),"")</f>
        <v/>
      </c>
      <c r="R29" s="99">
        <f>IFERROR(INDEX($G$12:$G$31,MATCH(LARGE($AB$12:$AB$31,$P29),$AB$12:$AB$31,0)),0)</f>
        <v/>
      </c>
      <c r="S29">
        <f>IF($T29&lt;=$B$9,"A",IF($T29&lt;=$B$10,"B","C"))</f>
        <v/>
      </c>
      <c r="T29" s="100">
        <f>IFERROR($T28+$R29/SUM($G$12:$G$31),0)</f>
        <v/>
      </c>
      <c r="U29" s="100">
        <f>IFERROR($R29/SUM($G$12:$G$31),0)</f>
        <v/>
      </c>
      <c r="V29" s="100">
        <f>IF($S29="A",$U29,NA())</f>
        <v/>
      </c>
      <c r="W29" s="100">
        <f>IF($S29="B",$U29,NA())</f>
        <v/>
      </c>
      <c r="X29" s="100">
        <f>IF($S29="C",$U29,NA())</f>
        <v/>
      </c>
      <c r="Y29" s="100">
        <f>IF($S29="A",$T29,NA())</f>
        <v/>
      </c>
      <c r="Z29" s="100">
        <f>IF(OR($S29="A",$S29="B"),$T29,NA())</f>
        <v/>
      </c>
      <c r="AA29" s="100">
        <f>$T29</f>
        <v/>
      </c>
      <c r="AB29">
        <f>IFERROR($G29+(31-ROW())/1000000000,0)</f>
        <v/>
      </c>
    </row>
    <row r="30" ht="18" customHeight="1">
      <c r="A30" s="47">
        <f>IF($I30&lt;=$B$9,"A",IF($I30&lt;=$B$10,"B","C"))</f>
        <v/>
      </c>
      <c r="B30" s="48" t="inlineStr">
        <is>
          <t>SKU19</t>
        </is>
      </c>
      <c r="C30" s="48" t="n">
        <v>3</v>
      </c>
      <c r="D30" s="49" t="inlineStr">
        <is>
          <t>Mouse Optico Simples</t>
        </is>
      </c>
      <c r="E30" s="50" t="n">
        <v>120</v>
      </c>
      <c r="F30" s="51" t="n">
        <v>15</v>
      </c>
      <c r="G30" s="52">
        <f>IFERROR(E30*F30,0)</f>
        <v/>
      </c>
      <c r="H30" s="53">
        <f>IFERROR(G30/SUM($G$12:$G$31),0)</f>
        <v/>
      </c>
      <c r="I30" s="98">
        <f>IFERROR((SUMPRODUCT(($G$12:$G$31&gt;$G30)*$G$12:$G$31)+SUMPRODUCT(($G$12:$G$31=$G30)*(ROW($G$12:$G$31)&lt;=ROW($G30))*$G$12:$G$31))/SUM($G$12:$G$31),0)</f>
        <v/>
      </c>
      <c r="P30" t="n">
        <v>19</v>
      </c>
      <c r="Q30">
        <f>IFERROR(INDEX($B$12:$B$31,MATCH(LARGE($AB$12:$AB$31,$P30),$AB$12:$AB$31,0)),"")</f>
        <v/>
      </c>
      <c r="R30" s="99">
        <f>IFERROR(INDEX($G$12:$G$31,MATCH(LARGE($AB$12:$AB$31,$P30),$AB$12:$AB$31,0)),0)</f>
        <v/>
      </c>
      <c r="S30">
        <f>IF($T30&lt;=$B$9,"A",IF($T30&lt;=$B$10,"B","C"))</f>
        <v/>
      </c>
      <c r="T30" s="100">
        <f>IFERROR($T29+$R30/SUM($G$12:$G$31),0)</f>
        <v/>
      </c>
      <c r="U30" s="100">
        <f>IFERROR($R30/SUM($G$12:$G$31),0)</f>
        <v/>
      </c>
      <c r="V30" s="100">
        <f>IF($S30="A",$U30,NA())</f>
        <v/>
      </c>
      <c r="W30" s="100">
        <f>IF($S30="B",$U30,NA())</f>
        <v/>
      </c>
      <c r="X30" s="100">
        <f>IF($S30="C",$U30,NA())</f>
        <v/>
      </c>
      <c r="Y30" s="100">
        <f>IF($S30="A",$T30,NA())</f>
        <v/>
      </c>
      <c r="Z30" s="100">
        <f>IF(OR($S30="A",$S30="B"),$T30,NA())</f>
        <v/>
      </c>
      <c r="AA30" s="100">
        <f>$T30</f>
        <v/>
      </c>
      <c r="AB30">
        <f>IFERROR($G30+(31-ROW())/1000000000,0)</f>
        <v/>
      </c>
    </row>
    <row r="31" ht="18" customHeight="1">
      <c r="A31" s="47">
        <f>IF($I31&lt;=$B$9,"A",IF($I31&lt;=$B$10,"B","C"))</f>
        <v/>
      </c>
      <c r="B31" s="48" t="inlineStr">
        <is>
          <t>SKU20</t>
        </is>
      </c>
      <c r="C31" s="48" t="n">
        <v>8</v>
      </c>
      <c r="D31" s="49" t="inlineStr">
        <is>
          <t>Patch Cord RJ45 1m</t>
        </is>
      </c>
      <c r="E31" s="50" t="n">
        <v>200</v>
      </c>
      <c r="F31" s="51" t="n">
        <v>12</v>
      </c>
      <c r="G31" s="52">
        <f>IFERROR(E31*F31,0)</f>
        <v/>
      </c>
      <c r="H31" s="53">
        <f>IFERROR(G31/SUM($G$12:$G$31),0)</f>
        <v/>
      </c>
      <c r="I31" s="98">
        <f>IFERROR((SUMPRODUCT(($G$12:$G$31&gt;$G31)*$G$12:$G$31)+SUMPRODUCT(($G$12:$G$31=$G31)*(ROW($G$12:$G$31)&lt;=ROW($G31))*$G$12:$G$31))/SUM($G$12:$G$31),0)</f>
        <v/>
      </c>
      <c r="P31" t="n">
        <v>20</v>
      </c>
      <c r="Q31">
        <f>IFERROR(INDEX($B$12:$B$31,MATCH(LARGE($AB$12:$AB$31,$P31),$AB$12:$AB$31,0)),"")</f>
        <v/>
      </c>
      <c r="R31" s="99">
        <f>IFERROR(INDEX($G$12:$G$31,MATCH(LARGE($AB$12:$AB$31,$P31),$AB$12:$AB$31,0)),0)</f>
        <v/>
      </c>
      <c r="S31">
        <f>IF($T31&lt;=$B$9,"A",IF($T31&lt;=$B$10,"B","C"))</f>
        <v/>
      </c>
      <c r="T31" s="100">
        <f>IFERROR($T30+$R31/SUM($G$12:$G$31),0)</f>
        <v/>
      </c>
      <c r="U31" s="100">
        <f>IFERROR($R31/SUM($G$12:$G$31),0)</f>
        <v/>
      </c>
      <c r="V31" s="100">
        <f>IF($S31="A",$U31,NA())</f>
        <v/>
      </c>
      <c r="W31" s="100">
        <f>IF($S31="B",$U31,NA())</f>
        <v/>
      </c>
      <c r="X31" s="100">
        <f>IF($S31="C",$U31,NA())</f>
        <v/>
      </c>
      <c r="Y31" s="100">
        <f>IF($S31="A",$T31,NA())</f>
        <v/>
      </c>
      <c r="Z31" s="100">
        <f>IF(OR($S31="A",$S31="B"),$T31,NA())</f>
        <v/>
      </c>
      <c r="AA31" s="100">
        <f>$T31</f>
        <v/>
      </c>
      <c r="AB31">
        <f>IFERROR($G31+(31-ROW())/1000000000,0)</f>
        <v/>
      </c>
    </row>
    <row r="32" ht="24" customHeight="1">
      <c r="A32" s="54" t="inlineStr">
        <is>
          <t>TOTAL GERAL</t>
        </is>
      </c>
      <c r="B32" s="101" t="n"/>
      <c r="C32" s="101" t="n"/>
      <c r="D32" s="102" t="n"/>
      <c r="E32" s="56">
        <f>SUM(E12:E31)</f>
        <v/>
      </c>
      <c r="F32" s="57" t="n"/>
      <c r="G32" s="58">
        <f>SUM(G12:G31)</f>
        <v/>
      </c>
      <c r="H32" s="59" t="n">
        <v>1</v>
      </c>
      <c r="I32" s="59" t="n">
        <v>1</v>
      </c>
    </row>
    <row r="3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C5:D5"/>
    <mergeCell ref="E5:F5"/>
    <mergeCell ref="J1:N1"/>
    <mergeCell ref="A6:B6"/>
    <mergeCell ref="C4:D4"/>
    <mergeCell ref="E4:F4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A32:D32"/>
    <mergeCell ref="E3:F3"/>
  </mergeCells>
  <conditionalFormatting sqref="A12:I3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  <cfRule type="expression" priority="7" dxfId="6" stopIfTrue="0">
      <formula>$A12="A"</formula>
    </cfRule>
    <cfRule type="expression" priority="8" dxfId="7" stopIfTrue="0">
      <formula>$A12="B"</formula>
    </cfRule>
    <cfRule type="expression" priority="9" dxfId="8" stopIfTrue="0">
      <formula>$A12="C"</formula>
    </cfRule>
  </conditionalFormatting>
  <conditionalFormatting sqref="A12:A3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3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  <dataValidation sqref="B9:B10" showDropDown="0" showInputMessage="1" showErrorMessage="1" allowBlank="0" errorTitle="Limite invalido" error="Digite um percentual entre 0 e 1 (ex.: 0,8 para 80%)." promptTitle="Limite ABC" prompt="Percentual entre 0 e 1 (0,8 = 80%).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4322B"/>
    <outlinePr summaryBelow="1" summaryRight="1"/>
    <pageSetUpPr/>
  </sheetPr>
  <dimension ref="A1:AC4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28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2" customWidth="1" min="10" max="10"/>
    <col width="10" customWidth="1" min="11" max="11"/>
    <col width="16" customWidth="1" min="12" max="12"/>
    <col width="10" customWidth="1" min="13" max="13"/>
    <col width="10" customWidth="1" min="14" max="14"/>
    <col hidden="1" width="11" customWidth="1" min="16" max="16"/>
    <col hidden="1" width="11" customWidth="1" min="17" max="17"/>
    <col hidden="1" width="11" customWidth="1" min="18" max="18"/>
    <col hidden="1" width="11" customWidth="1" min="19" max="19"/>
    <col hidden="1"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hidden="1" width="13" customWidth="1" min="28" max="28"/>
  </cols>
  <sheetData>
    <row r="1" ht="52" customHeight="1">
      <c r="A1" s="1" t="inlineStr">
        <is>
          <t xml:space="preserve">  CURVA ABC — ABA 02  —  Curva ABC de Pareto | Reggae Dashboard</t>
        </is>
      </c>
      <c r="J1" s="2" t="inlineStr">
        <is>
          <t>Classe A = ate 80%   |   Classe B = 80-95%   |   Classe C = 95-100%</t>
        </is>
      </c>
      <c r="O1" s="3" t="n"/>
    </row>
    <row r="2" ht="8" customHeight="1">
      <c r="A2" s="4" t="n"/>
      <c r="B2" s="3" t="n"/>
      <c r="C2" s="5" t="n"/>
      <c r="D2" s="6" t="n"/>
      <c r="E2" s="4" t="n"/>
      <c r="F2" s="3" t="n"/>
      <c r="G2" s="5" t="n"/>
      <c r="H2" s="6" t="n"/>
      <c r="I2" s="4" t="n"/>
      <c r="J2" s="3" t="n"/>
      <c r="K2" s="5" t="n"/>
      <c r="L2" s="6" t="n"/>
      <c r="M2" s="4" t="n"/>
      <c r="N2" s="3" t="n"/>
    </row>
    <row r="3" ht="24" customHeight="1">
      <c r="A3" s="7" t="inlineStr">
        <is>
          <t>VALOR TOTAL</t>
        </is>
      </c>
      <c r="B3" s="94" t="n"/>
      <c r="C3" s="9" t="inlineStr">
        <is>
          <t>CLASSE A (VT)</t>
        </is>
      </c>
      <c r="D3" s="94" t="n"/>
      <c r="E3" s="10" t="inlineStr">
        <is>
          <t>CLASSE B (VT)</t>
        </is>
      </c>
      <c r="F3" s="94" t="n"/>
      <c r="G3" s="9" t="inlineStr">
        <is>
          <t>MAIOR V.T.</t>
        </is>
      </c>
      <c r="H3" s="94" t="n"/>
      <c r="I3" s="11" t="n"/>
    </row>
    <row r="4" ht="30" customHeight="1">
      <c r="A4" s="12">
        <f>SUM($G$12:$G$41)</f>
        <v/>
      </c>
      <c r="B4" s="95" t="n"/>
      <c r="C4" s="14">
        <f>SUMIF($A$12:$A$41,"A",$G$12:$G$41)</f>
        <v/>
      </c>
      <c r="D4" s="95" t="n"/>
      <c r="E4" s="15">
        <f>SUMIF($A$12:$A$41,"B",$G$12:$G$41)</f>
        <v/>
      </c>
      <c r="F4" s="95" t="n"/>
      <c r="G4" s="16">
        <f>MAX($G$12:$G$41)</f>
        <v/>
      </c>
      <c r="H4" s="95" t="n"/>
      <c r="I4" s="17" t="n"/>
    </row>
    <row r="5" ht="24" customHeight="1">
      <c r="A5" s="18" t="inlineStr">
        <is>
          <t>TOTAL DE ITENS</t>
        </is>
      </c>
      <c r="B5" s="95" t="n"/>
      <c r="C5" s="19" t="inlineStr">
        <is>
          <t>% ITENS CLASSE A</t>
        </is>
      </c>
      <c r="D5" s="95" t="n"/>
      <c r="E5" s="19" t="inlineStr">
        <is>
          <t>CLASSE C (VT)</t>
        </is>
      </c>
      <c r="F5" s="95" t="n"/>
      <c r="G5" s="19" t="inlineStr">
        <is>
          <t>STATUS</t>
        </is>
      </c>
      <c r="H5" s="95" t="n"/>
      <c r="I5" s="17" t="n"/>
    </row>
    <row r="6" ht="30" customHeight="1">
      <c r="A6" s="20">
        <f>COUNTA($D$12:$D$41)</f>
        <v/>
      </c>
      <c r="B6" s="96" t="n"/>
      <c r="C6" s="22">
        <f>IFERROR(COUNTIF($A$12:$A$41,"A")/COUNTA($D$12:$D$41),0)</f>
        <v/>
      </c>
      <c r="D6" s="96" t="n"/>
      <c r="E6" s="23">
        <f>SUMIF($A$12:$A$41,"C",$G$12:$G$41)</f>
        <v/>
      </c>
      <c r="F6" s="96" t="n"/>
      <c r="G6" s="24">
        <f>IF(IFERROR(MAX($I$12:$I$41),0)&gt;1.001,"VERIFICAR","OK")</f>
        <v/>
      </c>
      <c r="H6" s="96" t="n"/>
      <c r="I6" s="25" t="n"/>
    </row>
    <row r="7" ht="8" customHeight="1">
      <c r="A7" s="5" t="n"/>
      <c r="B7" s="3" t="n"/>
      <c r="C7" s="4" t="n"/>
      <c r="D7" s="6" t="n"/>
      <c r="E7" s="5" t="n"/>
      <c r="F7" s="3" t="n"/>
      <c r="G7" s="4" t="n"/>
      <c r="H7" s="6" t="n"/>
      <c r="I7" s="5" t="n"/>
      <c r="J7" s="3" t="n"/>
      <c r="K7" s="4" t="n"/>
      <c r="L7" s="6" t="n"/>
      <c r="M7" s="5" t="n"/>
      <c r="N7" s="3" t="n"/>
    </row>
    <row r="8" ht="18" customHeight="1">
      <c r="A8" s="26" t="inlineStr">
        <is>
          <t xml:space="preserve">  Edite somente: Qtd. (col E) e Custo Unit. (col F) | Limite A → celula B9  |  Limite B → celula B10 | V.T. e ABC recalculam automaticamente</t>
        </is>
      </c>
      <c r="K8" s="27" t="inlineStr">
        <is>
          <t>RESUMO POR CLASSE</t>
        </is>
      </c>
    </row>
    <row r="9" ht="24" customHeight="1">
      <c r="A9" s="28" t="inlineStr">
        <is>
          <t>Limite A (Classe A):</t>
        </is>
      </c>
      <c r="B9" s="29" t="n">
        <v>0.8</v>
      </c>
      <c r="K9" s="30" t="inlineStr">
        <is>
          <t>A</t>
        </is>
      </c>
      <c r="L9" s="31">
        <f>SUMIF($A$12:$A$41,"A",$G$12:$G$41)</f>
        <v/>
      </c>
      <c r="M9" s="32">
        <f>IFERROR(L9/SUM($G$12:$G$41),0)</f>
        <v/>
      </c>
      <c r="N9" s="33">
        <f>COUNTIF($A$12:$A$41,"A")</f>
        <v/>
      </c>
    </row>
    <row r="10" ht="24" customHeight="1">
      <c r="A10" s="28" t="inlineStr">
        <is>
          <t>Limite B (Classe B):</t>
        </is>
      </c>
      <c r="B10" s="34" t="n">
        <v>0.95</v>
      </c>
      <c r="K10" s="35" t="inlineStr">
        <is>
          <t>B</t>
        </is>
      </c>
      <c r="L10" s="36">
        <f>SUMIF($A$12:$A$41,"B",$G$12:$G$41)</f>
        <v/>
      </c>
      <c r="M10" s="37">
        <f>IFERROR(L10/SUM($G$12:$G$41),0)</f>
        <v/>
      </c>
      <c r="N10" s="38">
        <f>COUNTIF($A$12:$A$41,"B")</f>
        <v/>
      </c>
    </row>
    <row r="11" ht="26" customHeight="1">
      <c r="A11" s="39" t="inlineStr">
        <is>
          <t>ABC</t>
        </is>
      </c>
      <c r="B11" s="40" t="inlineStr">
        <is>
          <t>SKU</t>
        </is>
      </c>
      <c r="C11" s="40" t="inlineStr">
        <is>
          <t>Cod.</t>
        </is>
      </c>
      <c r="D11" s="41" t="inlineStr">
        <is>
          <t>Descricao do Produto</t>
        </is>
      </c>
      <c r="E11" s="42" t="inlineStr">
        <is>
          <t>Qtd.</t>
        </is>
      </c>
      <c r="F11" s="42" t="inlineStr">
        <is>
          <t>Custo Unit.(R$)</t>
        </is>
      </c>
      <c r="G11" s="39" t="inlineStr">
        <is>
          <t>V.T. (R$)</t>
        </is>
      </c>
      <c r="H11" s="40" t="inlineStr">
        <is>
          <t>% Individual</t>
        </is>
      </c>
      <c r="I11" s="40" t="inlineStr">
        <is>
          <t>% Acumulado</t>
        </is>
      </c>
      <c r="K11" s="43" t="inlineStr">
        <is>
          <t>C</t>
        </is>
      </c>
      <c r="L11" s="44">
        <f>SUMIF($A$12:$A$41,"C",$G$12:$G$41)</f>
        <v/>
      </c>
      <c r="M11" s="45">
        <f>IFERROR(L11/SUM($G$12:$G$41),0)</f>
        <v/>
      </c>
      <c r="N11" s="46">
        <f>COUNTIF($A$12:$A$41,"C")</f>
        <v/>
      </c>
      <c r="P11" s="97" t="inlineStr">
        <is>
          <t>Rank</t>
        </is>
      </c>
      <c r="Q11" s="97" t="inlineStr">
        <is>
          <t>SKU</t>
        </is>
      </c>
      <c r="R11" s="97" t="inlineStr">
        <is>
          <t>V.T. (R$)</t>
        </is>
      </c>
      <c r="S11" s="97" t="inlineStr">
        <is>
          <t>Classe</t>
        </is>
      </c>
      <c r="T11" s="97" t="inlineStr">
        <is>
          <t>% Acumulado</t>
        </is>
      </c>
      <c r="U11" s="97" t="inlineStr">
        <is>
          <t>% Individual</t>
        </is>
      </c>
      <c r="V11" s="97" t="inlineStr">
        <is>
          <t>A</t>
        </is>
      </c>
      <c r="W11" s="97" t="inlineStr">
        <is>
          <t>B</t>
        </is>
      </c>
      <c r="X11" s="97" t="inlineStr">
        <is>
          <t>C</t>
        </is>
      </c>
      <c r="Y11" s="97" t="inlineStr">
        <is>
          <t>Banda A</t>
        </is>
      </c>
      <c r="Z11" s="97" t="inlineStr">
        <is>
          <t>Banda B</t>
        </is>
      </c>
      <c r="AA11" s="97" t="inlineStr">
        <is>
          <t>Banda C</t>
        </is>
      </c>
      <c r="AB11" s="97" t="inlineStr">
        <is>
          <t>score</t>
        </is>
      </c>
    </row>
    <row r="12" ht="18" customHeight="1">
      <c r="A12" s="47">
        <f>IF($I12&lt;=$B$9,"A",IF($I12&lt;=$B$10,"B","C"))</f>
        <v/>
      </c>
      <c r="B12" s="48" t="inlineStr">
        <is>
          <t>SKU01</t>
        </is>
      </c>
      <c r="C12" s="48" t="n">
        <v>2</v>
      </c>
      <c r="D12" s="49" t="inlineStr">
        <is>
          <t>Servidor Rack Dell Pro</t>
        </is>
      </c>
      <c r="E12" s="50" t="n">
        <v>15</v>
      </c>
      <c r="F12" s="51" t="n">
        <v>22500</v>
      </c>
      <c r="G12" s="52">
        <f>IFERROR(E12*F12,0)</f>
        <v/>
      </c>
      <c r="H12" s="53">
        <f>IFERROR(G12/SUM($G$12:$G$41),0)</f>
        <v/>
      </c>
      <c r="I12" s="98">
        <f>IFERROR((SUMPRODUCT(($G$12:$G$41&gt;$G12)*$G$12:$G$41)+SUMPRODUCT(($G$12:$G$41=$G12)*(ROW($G$12:$G$41)&lt;=ROW($G12))*$G$12:$G$41))/SUM($G$12:$G$41),0)</f>
        <v/>
      </c>
      <c r="P12" t="n">
        <v>1</v>
      </c>
      <c r="Q12">
        <f>IFERROR(INDEX($B$12:$B$41,MATCH(LARGE($AB$12:$AB$41,$P12),$AB$12:$AB$41,0)),"")</f>
        <v/>
      </c>
      <c r="R12" s="99">
        <f>IFERROR(INDEX($G$12:$G$41,MATCH(LARGE($AB$12:$AB$41,$P12),$AB$12:$AB$41,0)),0)</f>
        <v/>
      </c>
      <c r="S12">
        <f>IF($T12&lt;=$B$9,"A",IF($T12&lt;=$B$10,"B","C"))</f>
        <v/>
      </c>
      <c r="T12" s="100">
        <f>IFERROR($R12/SUM($G$12:$G$41),0)</f>
        <v/>
      </c>
      <c r="U12" s="100">
        <f>IFERROR($R12/SUM($G$12:$G$41),0)</f>
        <v/>
      </c>
      <c r="V12" s="100">
        <f>IF($S12="A",$U12,NA())</f>
        <v/>
      </c>
      <c r="W12" s="100">
        <f>IF($S12="B",$U12,NA())</f>
        <v/>
      </c>
      <c r="X12" s="100">
        <f>IF($S12="C",$U12,NA())</f>
        <v/>
      </c>
      <c r="Y12" s="100">
        <f>IF($S12="A",$T12,NA())</f>
        <v/>
      </c>
      <c r="Z12" s="100">
        <f>IF(OR($S12="A",$S12="B"),$T12,NA())</f>
        <v/>
      </c>
      <c r="AA12" s="100">
        <f>$T12</f>
        <v/>
      </c>
      <c r="AB12">
        <f>IFERROR($G12+(41-ROW())/1000000000,0)</f>
        <v/>
      </c>
    </row>
    <row r="13" ht="18" customHeight="1">
      <c r="A13" s="47">
        <f>IF($I13&lt;=$B$9,"A",IF($I13&lt;=$B$10,"B","C"))</f>
        <v/>
      </c>
      <c r="B13" s="48" t="inlineStr">
        <is>
          <t>SKU02</t>
        </is>
      </c>
      <c r="C13" s="48" t="n">
        <v>17</v>
      </c>
      <c r="D13" s="49" t="inlineStr">
        <is>
          <t>Workstation Grafica</t>
        </is>
      </c>
      <c r="E13" s="50" t="n">
        <v>19</v>
      </c>
      <c r="F13" s="51" t="n">
        <v>12000</v>
      </c>
      <c r="G13" s="52">
        <f>IFERROR(E13*F13,0)</f>
        <v/>
      </c>
      <c r="H13" s="53">
        <f>IFERROR(G13/SUM($G$12:$G$41),0)</f>
        <v/>
      </c>
      <c r="I13" s="98">
        <f>IFERROR((SUMPRODUCT(($G$12:$G$41&gt;$G13)*$G$12:$G$41)+SUMPRODUCT(($G$12:$G$41=$G13)*(ROW($G$12:$G$41)&lt;=ROW($G13))*$G$12:$G$41))/SUM($G$12:$G$41),0)</f>
        <v/>
      </c>
      <c r="P13" t="n">
        <v>2</v>
      </c>
      <c r="Q13">
        <f>IFERROR(INDEX($B$12:$B$41,MATCH(LARGE($AB$12:$AB$41,$P13),$AB$12:$AB$41,0)),"")</f>
        <v/>
      </c>
      <c r="R13" s="99">
        <f>IFERROR(INDEX($G$12:$G$41,MATCH(LARGE($AB$12:$AB$41,$P13),$AB$12:$AB$41,0)),0)</f>
        <v/>
      </c>
      <c r="S13">
        <f>IF($T13&lt;=$B$9,"A",IF($T13&lt;=$B$10,"B","C"))</f>
        <v/>
      </c>
      <c r="T13" s="100">
        <f>IFERROR($T12+$R13/SUM($G$12:$G$41),0)</f>
        <v/>
      </c>
      <c r="U13" s="100">
        <f>IFERROR($R13/SUM($G$12:$G$41),0)</f>
        <v/>
      </c>
      <c r="V13" s="100">
        <f>IF($S13="A",$U13,NA())</f>
        <v/>
      </c>
      <c r="W13" s="100">
        <f>IF($S13="B",$U13,NA())</f>
        <v/>
      </c>
      <c r="X13" s="100">
        <f>IF($S13="C",$U13,NA())</f>
        <v/>
      </c>
      <c r="Y13" s="100">
        <f>IF($S13="A",$T13,NA())</f>
        <v/>
      </c>
      <c r="Z13" s="100">
        <f>IF(OR($S13="A",$S13="B"),$T13,NA())</f>
        <v/>
      </c>
      <c r="AA13" s="100">
        <f>$T13</f>
        <v/>
      </c>
      <c r="AB13">
        <f>IFERROR($G13+(41-ROW())/1000000000,0)</f>
        <v/>
      </c>
    </row>
    <row r="14" ht="18" customHeight="1">
      <c r="A14" s="47">
        <f>IF($I14&lt;=$B$9,"A",IF($I14&lt;=$B$10,"B","C"))</f>
        <v/>
      </c>
      <c r="B14" s="48" t="inlineStr">
        <is>
          <t>SKU03</t>
        </is>
      </c>
      <c r="C14" s="48" t="n">
        <v>10</v>
      </c>
      <c r="D14" s="49" t="inlineStr">
        <is>
          <t>Notebook i7 32GB RAM</t>
        </is>
      </c>
      <c r="E14" s="50" t="n">
        <v>28</v>
      </c>
      <c r="F14" s="51" t="n">
        <v>7200</v>
      </c>
      <c r="G14" s="52">
        <f>IFERROR(E14*F14,0)</f>
        <v/>
      </c>
      <c r="H14" s="53">
        <f>IFERROR(G14/SUM($G$12:$G$41),0)</f>
        <v/>
      </c>
      <c r="I14" s="98">
        <f>IFERROR((SUMPRODUCT(($G$12:$G$41&gt;$G14)*$G$12:$G$41)+SUMPRODUCT(($G$12:$G$41=$G14)*(ROW($G$12:$G$41)&lt;=ROW($G14))*$G$12:$G$41))/SUM($G$12:$G$41),0)</f>
        <v/>
      </c>
      <c r="P14" t="n">
        <v>3</v>
      </c>
      <c r="Q14">
        <f>IFERROR(INDEX($B$12:$B$41,MATCH(LARGE($AB$12:$AB$41,$P14),$AB$12:$AB$41,0)),"")</f>
        <v/>
      </c>
      <c r="R14" s="99">
        <f>IFERROR(INDEX($G$12:$G$41,MATCH(LARGE($AB$12:$AB$41,$P14),$AB$12:$AB$41,0)),0)</f>
        <v/>
      </c>
      <c r="S14">
        <f>IF($T14&lt;=$B$9,"A",IF($T14&lt;=$B$10,"B","C"))</f>
        <v/>
      </c>
      <c r="T14" s="100">
        <f>IFERROR($T13+$R14/SUM($G$12:$G$41),0)</f>
        <v/>
      </c>
      <c r="U14" s="100">
        <f>IFERROR($R14/SUM($G$12:$G$41),0)</f>
        <v/>
      </c>
      <c r="V14" s="100">
        <f>IF($S14="A",$U14,NA())</f>
        <v/>
      </c>
      <c r="W14" s="100">
        <f>IF($S14="B",$U14,NA())</f>
        <v/>
      </c>
      <c r="X14" s="100">
        <f>IF($S14="C",$U14,NA())</f>
        <v/>
      </c>
      <c r="Y14" s="100">
        <f>IF($S14="A",$T14,NA())</f>
        <v/>
      </c>
      <c r="Z14" s="100">
        <f>IF(OR($S14="A",$S14="B"),$T14,NA())</f>
        <v/>
      </c>
      <c r="AA14" s="100">
        <f>$T14</f>
        <v/>
      </c>
      <c r="AB14">
        <f>IFERROR($G14+(41-ROW())/1000000000,0)</f>
        <v/>
      </c>
    </row>
    <row r="15" ht="18" customHeight="1">
      <c r="A15" s="47">
        <f>IF($I15&lt;=$B$9,"A",IF($I15&lt;=$B$10,"B","C"))</f>
        <v/>
      </c>
      <c r="B15" s="48" t="inlineStr">
        <is>
          <t>SKU04</t>
        </is>
      </c>
      <c r="C15" s="48" t="n">
        <v>8</v>
      </c>
      <c r="D15" s="49" t="inlineStr">
        <is>
          <t>Switch Gerenciavel 48p</t>
        </is>
      </c>
      <c r="E15" s="50" t="n">
        <v>10</v>
      </c>
      <c r="F15" s="51" t="n">
        <v>4800</v>
      </c>
      <c r="G15" s="52">
        <f>IFERROR(E15*F15,0)</f>
        <v/>
      </c>
      <c r="H15" s="53">
        <f>IFERROR(G15/SUM($G$12:$G$41),0)</f>
        <v/>
      </c>
      <c r="I15" s="98">
        <f>IFERROR((SUMPRODUCT(($G$12:$G$41&gt;$G15)*$G$12:$G$41)+SUMPRODUCT(($G$12:$G$41=$G15)*(ROW($G$12:$G$41)&lt;=ROW($G15))*$G$12:$G$41))/SUM($G$12:$G$41),0)</f>
        <v/>
      </c>
      <c r="P15" t="n">
        <v>4</v>
      </c>
      <c r="Q15">
        <f>IFERROR(INDEX($B$12:$B$41,MATCH(LARGE($AB$12:$AB$41,$P15),$AB$12:$AB$41,0)),"")</f>
        <v/>
      </c>
      <c r="R15" s="99">
        <f>IFERROR(INDEX($G$12:$G$41,MATCH(LARGE($AB$12:$AB$41,$P15),$AB$12:$AB$41,0)),0)</f>
        <v/>
      </c>
      <c r="S15">
        <f>IF($T15&lt;=$B$9,"A",IF($T15&lt;=$B$10,"B","C"))</f>
        <v/>
      </c>
      <c r="T15" s="100">
        <f>IFERROR($T14+$R15/SUM($G$12:$G$41),0)</f>
        <v/>
      </c>
      <c r="U15" s="100">
        <f>IFERROR($R15/SUM($G$12:$G$41),0)</f>
        <v/>
      </c>
      <c r="V15" s="100">
        <f>IF($S15="A",$U15,NA())</f>
        <v/>
      </c>
      <c r="W15" s="100">
        <f>IF($S15="B",$U15,NA())</f>
        <v/>
      </c>
      <c r="X15" s="100">
        <f>IF($S15="C",$U15,NA())</f>
        <v/>
      </c>
      <c r="Y15" s="100">
        <f>IF($S15="A",$T15,NA())</f>
        <v/>
      </c>
      <c r="Z15" s="100">
        <f>IF(OR($S15="A",$S15="B"),$T15,NA())</f>
        <v/>
      </c>
      <c r="AA15" s="100">
        <f>$T15</f>
        <v/>
      </c>
      <c r="AB15">
        <f>IFERROR($G15+(41-ROW())/1000000000,0)</f>
        <v/>
      </c>
    </row>
    <row r="16" ht="18" customHeight="1">
      <c r="A16" s="47">
        <f>IF($I16&lt;=$B$9,"A",IF($I16&lt;=$B$10,"B","C"))</f>
        <v/>
      </c>
      <c r="B16" s="48" t="inlineStr">
        <is>
          <t>SKU05</t>
        </is>
      </c>
      <c r="C16" s="48" t="n">
        <v>22</v>
      </c>
      <c r="D16" s="49" t="inlineStr">
        <is>
          <t>Placa de Video RTX</t>
        </is>
      </c>
      <c r="E16" s="50" t="n">
        <v>8</v>
      </c>
      <c r="F16" s="51" t="n">
        <v>5500</v>
      </c>
      <c r="G16" s="52">
        <f>IFERROR(E16*F16,0)</f>
        <v/>
      </c>
      <c r="H16" s="53">
        <f>IFERROR(G16/SUM($G$12:$G$41),0)</f>
        <v/>
      </c>
      <c r="I16" s="98">
        <f>IFERROR((SUMPRODUCT(($G$12:$G$41&gt;$G16)*$G$12:$G$41)+SUMPRODUCT(($G$12:$G$41=$G16)*(ROW($G$12:$G$41)&lt;=ROW($G16))*$G$12:$G$41))/SUM($G$12:$G$41),0)</f>
        <v/>
      </c>
      <c r="P16" t="n">
        <v>5</v>
      </c>
      <c r="Q16">
        <f>IFERROR(INDEX($B$12:$B$41,MATCH(LARGE($AB$12:$AB$41,$P16),$AB$12:$AB$41,0)),"")</f>
        <v/>
      </c>
      <c r="R16" s="99">
        <f>IFERROR(INDEX($G$12:$G$41,MATCH(LARGE($AB$12:$AB$41,$P16),$AB$12:$AB$41,0)),0)</f>
        <v/>
      </c>
      <c r="S16">
        <f>IF($T16&lt;=$B$9,"A",IF($T16&lt;=$B$10,"B","C"))</f>
        <v/>
      </c>
      <c r="T16" s="100">
        <f>IFERROR($T15+$R16/SUM($G$12:$G$41),0)</f>
        <v/>
      </c>
      <c r="U16" s="100">
        <f>IFERROR($R16/SUM($G$12:$G$41),0)</f>
        <v/>
      </c>
      <c r="V16" s="100">
        <f>IF($S16="A",$U16,NA())</f>
        <v/>
      </c>
      <c r="W16" s="100">
        <f>IF($S16="B",$U16,NA())</f>
        <v/>
      </c>
      <c r="X16" s="100">
        <f>IF($S16="C",$U16,NA())</f>
        <v/>
      </c>
      <c r="Y16" s="100">
        <f>IF($S16="A",$T16,NA())</f>
        <v/>
      </c>
      <c r="Z16" s="100">
        <f>IF(OR($S16="A",$S16="B"),$T16,NA())</f>
        <v/>
      </c>
      <c r="AA16" s="100">
        <f>$T16</f>
        <v/>
      </c>
      <c r="AB16">
        <f>IFERROR($G16+(41-ROW())/1000000000,0)</f>
        <v/>
      </c>
    </row>
    <row r="17" ht="18" customHeight="1">
      <c r="A17" s="47">
        <f>IF($I17&lt;=$B$9,"A",IF($I17&lt;=$B$10,"B","C"))</f>
        <v/>
      </c>
      <c r="B17" s="48" t="inlineStr">
        <is>
          <t>SKU06</t>
        </is>
      </c>
      <c r="C17" s="48" t="n">
        <v>21</v>
      </c>
      <c r="D17" s="49" t="inlineStr">
        <is>
          <t>Storage NAS 40TB</t>
        </is>
      </c>
      <c r="E17" s="50" t="n">
        <v>2</v>
      </c>
      <c r="F17" s="51" t="n">
        <v>18500</v>
      </c>
      <c r="G17" s="52">
        <f>IFERROR(E17*F17,0)</f>
        <v/>
      </c>
      <c r="H17" s="53">
        <f>IFERROR(G17/SUM($G$12:$G$41),0)</f>
        <v/>
      </c>
      <c r="I17" s="98">
        <f>IFERROR((SUMPRODUCT(($G$12:$G$41&gt;$G17)*$G$12:$G$41)+SUMPRODUCT(($G$12:$G$41=$G17)*(ROW($G$12:$G$41)&lt;=ROW($G17))*$G$12:$G$41))/SUM($G$12:$G$41),0)</f>
        <v/>
      </c>
      <c r="P17" t="n">
        <v>6</v>
      </c>
      <c r="Q17">
        <f>IFERROR(INDEX($B$12:$B$41,MATCH(LARGE($AB$12:$AB$41,$P17),$AB$12:$AB$41,0)),"")</f>
        <v/>
      </c>
      <c r="R17" s="99">
        <f>IFERROR(INDEX($G$12:$G$41,MATCH(LARGE($AB$12:$AB$41,$P17),$AB$12:$AB$41,0)),0)</f>
        <v/>
      </c>
      <c r="S17">
        <f>IF($T17&lt;=$B$9,"A",IF($T17&lt;=$B$10,"B","C"))</f>
        <v/>
      </c>
      <c r="T17" s="100">
        <f>IFERROR($T16+$R17/SUM($G$12:$G$41),0)</f>
        <v/>
      </c>
      <c r="U17" s="100">
        <f>IFERROR($R17/SUM($G$12:$G$41),0)</f>
        <v/>
      </c>
      <c r="V17" s="100">
        <f>IF($S17="A",$U17,NA())</f>
        <v/>
      </c>
      <c r="W17" s="100">
        <f>IF($S17="B",$U17,NA())</f>
        <v/>
      </c>
      <c r="X17" s="100">
        <f>IF($S17="C",$U17,NA())</f>
        <v/>
      </c>
      <c r="Y17" s="100">
        <f>IF($S17="A",$T17,NA())</f>
        <v/>
      </c>
      <c r="Z17" s="100">
        <f>IF(OR($S17="A",$S17="B"),$T17,NA())</f>
        <v/>
      </c>
      <c r="AA17" s="100">
        <f>$T17</f>
        <v/>
      </c>
      <c r="AB17">
        <f>IFERROR($G17+(41-ROW())/1000000000,0)</f>
        <v/>
      </c>
    </row>
    <row r="18" ht="18" customHeight="1">
      <c r="A18" s="47">
        <f>IF($I18&lt;=$B$9,"A",IF($I18&lt;=$B$10,"B","C"))</f>
        <v/>
      </c>
      <c r="B18" s="48" t="inlineStr">
        <is>
          <t>SKU07</t>
        </is>
      </c>
      <c r="C18" s="48" t="n">
        <v>19</v>
      </c>
      <c r="D18" s="49" t="inlineStr">
        <is>
          <t>Memoria RAM 16GB</t>
        </is>
      </c>
      <c r="E18" s="50" t="n">
        <v>45</v>
      </c>
      <c r="F18" s="51" t="n">
        <v>380</v>
      </c>
      <c r="G18" s="52">
        <f>IFERROR(E18*F18,0)</f>
        <v/>
      </c>
      <c r="H18" s="53">
        <f>IFERROR(G18/SUM($G$12:$G$41),0)</f>
        <v/>
      </c>
      <c r="I18" s="98">
        <f>IFERROR((SUMPRODUCT(($G$12:$G$41&gt;$G18)*$G$12:$G$41)+SUMPRODUCT(($G$12:$G$41=$G18)*(ROW($G$12:$G$41)&lt;=ROW($G18))*$G$12:$G$41))/SUM($G$12:$G$41),0)</f>
        <v/>
      </c>
      <c r="P18" t="n">
        <v>7</v>
      </c>
      <c r="Q18">
        <f>IFERROR(INDEX($B$12:$B$41,MATCH(LARGE($AB$12:$AB$41,$P18),$AB$12:$AB$41,0)),"")</f>
        <v/>
      </c>
      <c r="R18" s="99">
        <f>IFERROR(INDEX($G$12:$G$41,MATCH(LARGE($AB$12:$AB$41,$P18),$AB$12:$AB$41,0)),0)</f>
        <v/>
      </c>
      <c r="S18">
        <f>IF($T18&lt;=$B$9,"A",IF($T18&lt;=$B$10,"B","C"))</f>
        <v/>
      </c>
      <c r="T18" s="100">
        <f>IFERROR($T17+$R18/SUM($G$12:$G$41),0)</f>
        <v/>
      </c>
      <c r="U18" s="100">
        <f>IFERROR($R18/SUM($G$12:$G$41),0)</f>
        <v/>
      </c>
      <c r="V18" s="100">
        <f>IF($S18="A",$U18,NA())</f>
        <v/>
      </c>
      <c r="W18" s="100">
        <f>IF($S18="B",$U18,NA())</f>
        <v/>
      </c>
      <c r="X18" s="100">
        <f>IF($S18="C",$U18,NA())</f>
        <v/>
      </c>
      <c r="Y18" s="100">
        <f>IF($S18="A",$T18,NA())</f>
        <v/>
      </c>
      <c r="Z18" s="100">
        <f>IF(OR($S18="A",$S18="B"),$T18,NA())</f>
        <v/>
      </c>
      <c r="AA18" s="100">
        <f>$T18</f>
        <v/>
      </c>
      <c r="AB18">
        <f>IFERROR($G18+(41-ROW())/1000000000,0)</f>
        <v/>
      </c>
    </row>
    <row r="19" ht="18" customHeight="1">
      <c r="A19" s="47">
        <f>IF($I19&lt;=$B$9,"A",IF($I19&lt;=$B$10,"B","C"))</f>
        <v/>
      </c>
      <c r="B19" s="48" t="inlineStr">
        <is>
          <t>SKU08</t>
        </is>
      </c>
      <c r="C19" s="48" t="n">
        <v>12</v>
      </c>
      <c r="D19" s="49" t="inlineStr">
        <is>
          <t>Toner Impressora Laser</t>
        </is>
      </c>
      <c r="E19" s="50" t="n">
        <v>40</v>
      </c>
      <c r="F19" s="51" t="n">
        <v>320</v>
      </c>
      <c r="G19" s="52">
        <f>IFERROR(E19*F19,0)</f>
        <v/>
      </c>
      <c r="H19" s="53">
        <f>IFERROR(G19/SUM($G$12:$G$41),0)</f>
        <v/>
      </c>
      <c r="I19" s="98">
        <f>IFERROR((SUMPRODUCT(($G$12:$G$41&gt;$G19)*$G$12:$G$41)+SUMPRODUCT(($G$12:$G$41=$G19)*(ROW($G$12:$G$41)&lt;=ROW($G19))*$G$12:$G$41))/SUM($G$12:$G$41),0)</f>
        <v/>
      </c>
      <c r="P19" t="n">
        <v>8</v>
      </c>
      <c r="Q19">
        <f>IFERROR(INDEX($B$12:$B$41,MATCH(LARGE($AB$12:$AB$41,$P19),$AB$12:$AB$41,0)),"")</f>
        <v/>
      </c>
      <c r="R19" s="99">
        <f>IFERROR(INDEX($G$12:$G$41,MATCH(LARGE($AB$12:$AB$41,$P19),$AB$12:$AB$41,0)),0)</f>
        <v/>
      </c>
      <c r="S19">
        <f>IF($T19&lt;=$B$9,"A",IF($T19&lt;=$B$10,"B","C"))</f>
        <v/>
      </c>
      <c r="T19" s="100">
        <f>IFERROR($T18+$R19/SUM($G$12:$G$41),0)</f>
        <v/>
      </c>
      <c r="U19" s="100">
        <f>IFERROR($R19/SUM($G$12:$G$41),0)</f>
        <v/>
      </c>
      <c r="V19" s="100">
        <f>IF($S19="A",$U19,NA())</f>
        <v/>
      </c>
      <c r="W19" s="100">
        <f>IF($S19="B",$U19,NA())</f>
        <v/>
      </c>
      <c r="X19" s="100">
        <f>IF($S19="C",$U19,NA())</f>
        <v/>
      </c>
      <c r="Y19" s="100">
        <f>IF($S19="A",$T19,NA())</f>
        <v/>
      </c>
      <c r="Z19" s="100">
        <f>IF(OR($S19="A",$S19="B"),$T19,NA())</f>
        <v/>
      </c>
      <c r="AA19" s="100">
        <f>$T19</f>
        <v/>
      </c>
      <c r="AB19">
        <f>IFERROR($G19+(41-ROW())/1000000000,0)</f>
        <v/>
      </c>
    </row>
    <row r="20" ht="18" customHeight="1">
      <c r="A20" s="47">
        <f>IF($I20&lt;=$B$9,"A",IF($I20&lt;=$B$10,"B","C"))</f>
        <v/>
      </c>
      <c r="B20" s="48" t="inlineStr">
        <is>
          <t>SKU09</t>
        </is>
      </c>
      <c r="C20" s="48" t="n">
        <v>4</v>
      </c>
      <c r="D20" s="49" t="inlineStr">
        <is>
          <t>Monitor LED 24"</t>
        </is>
      </c>
      <c r="E20" s="50" t="n">
        <v>15</v>
      </c>
      <c r="F20" s="51" t="n">
        <v>850</v>
      </c>
      <c r="G20" s="52">
        <f>IFERROR(E20*F20,0)</f>
        <v/>
      </c>
      <c r="H20" s="53">
        <f>IFERROR(G20/SUM($G$12:$G$41),0)</f>
        <v/>
      </c>
      <c r="I20" s="98">
        <f>IFERROR((SUMPRODUCT(($G$12:$G$41&gt;$G20)*$G$12:$G$41)+SUMPRODUCT(($G$12:$G$41=$G20)*(ROW($G$12:$G$41)&lt;=ROW($G20))*$G$12:$G$41))/SUM($G$12:$G$41),0)</f>
        <v/>
      </c>
      <c r="P20" t="n">
        <v>9</v>
      </c>
      <c r="Q20">
        <f>IFERROR(INDEX($B$12:$B$41,MATCH(LARGE($AB$12:$AB$41,$P20),$AB$12:$AB$41,0)),"")</f>
        <v/>
      </c>
      <c r="R20" s="99">
        <f>IFERROR(INDEX($G$12:$G$41,MATCH(LARGE($AB$12:$AB$41,$P20),$AB$12:$AB$41,0)),0)</f>
        <v/>
      </c>
      <c r="S20">
        <f>IF($T20&lt;=$B$9,"A",IF($T20&lt;=$B$10,"B","C"))</f>
        <v/>
      </c>
      <c r="T20" s="100">
        <f>IFERROR($T19+$R20/SUM($G$12:$G$41),0)</f>
        <v/>
      </c>
      <c r="U20" s="100">
        <f>IFERROR($R20/SUM($G$12:$G$41),0)</f>
        <v/>
      </c>
      <c r="V20" s="100">
        <f>IF($S20="A",$U20,NA())</f>
        <v/>
      </c>
      <c r="W20" s="100">
        <f>IF($S20="B",$U20,NA())</f>
        <v/>
      </c>
      <c r="X20" s="100">
        <f>IF($S20="C",$U20,NA())</f>
        <v/>
      </c>
      <c r="Y20" s="100">
        <f>IF($S20="A",$T20,NA())</f>
        <v/>
      </c>
      <c r="Z20" s="100">
        <f>IF(OR($S20="A",$S20="B"),$T20,NA())</f>
        <v/>
      </c>
      <c r="AA20" s="100">
        <f>$T20</f>
        <v/>
      </c>
      <c r="AB20">
        <f>IFERROR($G20+(41-ROW())/1000000000,0)</f>
        <v/>
      </c>
    </row>
    <row r="21" ht="18" customHeight="1">
      <c r="A21" s="47">
        <f>IF($I21&lt;=$B$9,"A",IF($I21&lt;=$B$10,"B","C"))</f>
        <v/>
      </c>
      <c r="B21" s="48" t="inlineStr">
        <is>
          <t>SKU10</t>
        </is>
      </c>
      <c r="C21" s="48" t="n">
        <v>11</v>
      </c>
      <c r="D21" s="49" t="inlineStr">
        <is>
          <t>Roteador Wi-Fi 6</t>
        </is>
      </c>
      <c r="E21" s="50" t="n">
        <v>25</v>
      </c>
      <c r="F21" s="51" t="n">
        <v>450</v>
      </c>
      <c r="G21" s="52">
        <f>IFERROR(E21*F21,0)</f>
        <v/>
      </c>
      <c r="H21" s="53">
        <f>IFERROR(G21/SUM($G$12:$G$41),0)</f>
        <v/>
      </c>
      <c r="I21" s="98">
        <f>IFERROR((SUMPRODUCT(($G$12:$G$41&gt;$G21)*$G$12:$G$41)+SUMPRODUCT(($G$12:$G$41=$G21)*(ROW($G$12:$G$41)&lt;=ROW($G21))*$G$12:$G$41))/SUM($G$12:$G$41),0)</f>
        <v/>
      </c>
      <c r="P21" t="n">
        <v>10</v>
      </c>
      <c r="Q21">
        <f>IFERROR(INDEX($B$12:$B$41,MATCH(LARGE($AB$12:$AB$41,$P21),$AB$12:$AB$41,0)),"")</f>
        <v/>
      </c>
      <c r="R21" s="99">
        <f>IFERROR(INDEX($G$12:$G$41,MATCH(LARGE($AB$12:$AB$41,$P21),$AB$12:$AB$41,0)),0)</f>
        <v/>
      </c>
      <c r="S21">
        <f>IF($T21&lt;=$B$9,"A",IF($T21&lt;=$B$10,"B","C"))</f>
        <v/>
      </c>
      <c r="T21" s="100">
        <f>IFERROR($T20+$R21/SUM($G$12:$G$41),0)</f>
        <v/>
      </c>
      <c r="U21" s="100">
        <f>IFERROR($R21/SUM($G$12:$G$41),0)</f>
        <v/>
      </c>
      <c r="V21" s="100">
        <f>IF($S21="A",$U21,NA())</f>
        <v/>
      </c>
      <c r="W21" s="100">
        <f>IF($S21="B",$U21,NA())</f>
        <v/>
      </c>
      <c r="X21" s="100">
        <f>IF($S21="C",$U21,NA())</f>
        <v/>
      </c>
      <c r="Y21" s="100">
        <f>IF($S21="A",$T21,NA())</f>
        <v/>
      </c>
      <c r="Z21" s="100">
        <f>IF(OR($S21="A",$S21="B"),$T21,NA())</f>
        <v/>
      </c>
      <c r="AA21" s="100">
        <f>$T21</f>
        <v/>
      </c>
      <c r="AB21">
        <f>IFERROR($G21+(41-ROW())/1000000000,0)</f>
        <v/>
      </c>
    </row>
    <row r="22" ht="18" customHeight="1">
      <c r="A22" s="47">
        <f>IF($I22&lt;=$B$9,"A",IF($I22&lt;=$B$10,"B","C"))</f>
        <v/>
      </c>
      <c r="B22" s="48" t="inlineStr">
        <is>
          <t>SKU11</t>
        </is>
      </c>
      <c r="C22" s="48" t="n">
        <v>15</v>
      </c>
      <c r="D22" s="49" t="inlineStr">
        <is>
          <t>SSD 480GB Sata</t>
        </is>
      </c>
      <c r="E22" s="50" t="n">
        <v>55</v>
      </c>
      <c r="F22" s="51" t="n">
        <v>190</v>
      </c>
      <c r="G22" s="52">
        <f>IFERROR(E22*F22,0)</f>
        <v/>
      </c>
      <c r="H22" s="53">
        <f>IFERROR(G22/SUM($G$12:$G$41),0)</f>
        <v/>
      </c>
      <c r="I22" s="98">
        <f>IFERROR((SUMPRODUCT(($G$12:$G$41&gt;$G22)*$G$12:$G$41)+SUMPRODUCT(($G$12:$G$41=$G22)*(ROW($G$12:$G$41)&lt;=ROW($G22))*$G$12:$G$41))/SUM($G$12:$G$41),0)</f>
        <v/>
      </c>
      <c r="P22" t="n">
        <v>11</v>
      </c>
      <c r="Q22">
        <f>IFERROR(INDEX($B$12:$B$41,MATCH(LARGE($AB$12:$AB$41,$P22),$AB$12:$AB$41,0)),"")</f>
        <v/>
      </c>
      <c r="R22" s="99">
        <f>IFERROR(INDEX($G$12:$G$41,MATCH(LARGE($AB$12:$AB$41,$P22),$AB$12:$AB$41,0)),0)</f>
        <v/>
      </c>
      <c r="S22">
        <f>IF($T22&lt;=$B$9,"A",IF($T22&lt;=$B$10,"B","C"))</f>
        <v/>
      </c>
      <c r="T22" s="100">
        <f>IFERROR($T21+$R22/SUM($G$12:$G$41),0)</f>
        <v/>
      </c>
      <c r="U22" s="100">
        <f>IFERROR($R22/SUM($G$12:$G$41),0)</f>
        <v/>
      </c>
      <c r="V22" s="100">
        <f>IF($S22="A",$U22,NA())</f>
        <v/>
      </c>
      <c r="W22" s="100">
        <f>IF($S22="B",$U22,NA())</f>
        <v/>
      </c>
      <c r="X22" s="100">
        <f>IF($S22="C",$U22,NA())</f>
        <v/>
      </c>
      <c r="Y22" s="100">
        <f>IF($S22="A",$T22,NA())</f>
        <v/>
      </c>
      <c r="Z22" s="100">
        <f>IF(OR($S22="A",$S22="B"),$T22,NA())</f>
        <v/>
      </c>
      <c r="AA22" s="100">
        <f>$T22</f>
        <v/>
      </c>
      <c r="AB22">
        <f>IFERROR($G22+(41-ROW())/1000000000,0)</f>
        <v/>
      </c>
    </row>
    <row r="23" ht="18" customHeight="1">
      <c r="A23" s="47">
        <f>IF($I23&lt;=$B$9,"A",IF($I23&lt;=$B$10,"B","C"))</f>
        <v/>
      </c>
      <c r="B23" s="48" t="inlineStr">
        <is>
          <t>SKU12</t>
        </is>
      </c>
      <c r="C23" s="48" t="n">
        <v>6</v>
      </c>
      <c r="D23" s="49" t="inlineStr">
        <is>
          <t>Nobreak 1500VA</t>
        </is>
      </c>
      <c r="E23" s="50" t="n">
        <v>8</v>
      </c>
      <c r="F23" s="51" t="n">
        <v>1200</v>
      </c>
      <c r="G23" s="52">
        <f>IFERROR(E23*F23,0)</f>
        <v/>
      </c>
      <c r="H23" s="53">
        <f>IFERROR(G23/SUM($G$12:$G$41),0)</f>
        <v/>
      </c>
      <c r="I23" s="98">
        <f>IFERROR((SUMPRODUCT(($G$12:$G$41&gt;$G23)*$G$12:$G$41)+SUMPRODUCT(($G$12:$G$41=$G23)*(ROW($G$12:$G$41)&lt;=ROW($G23))*$G$12:$G$41))/SUM($G$12:$G$41),0)</f>
        <v/>
      </c>
      <c r="P23" t="n">
        <v>12</v>
      </c>
      <c r="Q23">
        <f>IFERROR(INDEX($B$12:$B$41,MATCH(LARGE($AB$12:$AB$41,$P23),$AB$12:$AB$41,0)),"")</f>
        <v/>
      </c>
      <c r="R23" s="99">
        <f>IFERROR(INDEX($G$12:$G$41,MATCH(LARGE($AB$12:$AB$41,$P23),$AB$12:$AB$41,0)),0)</f>
        <v/>
      </c>
      <c r="S23">
        <f>IF($T23&lt;=$B$9,"A",IF($T23&lt;=$B$10,"B","C"))</f>
        <v/>
      </c>
      <c r="T23" s="100">
        <f>IFERROR($T22+$R23/SUM($G$12:$G$41),0)</f>
        <v/>
      </c>
      <c r="U23" s="100">
        <f>IFERROR($R23/SUM($G$12:$G$41),0)</f>
        <v/>
      </c>
      <c r="V23" s="100">
        <f>IF($S23="A",$U23,NA())</f>
        <v/>
      </c>
      <c r="W23" s="100">
        <f>IF($S23="B",$U23,NA())</f>
        <v/>
      </c>
      <c r="X23" s="100">
        <f>IF($S23="C",$U23,NA())</f>
        <v/>
      </c>
      <c r="Y23" s="100">
        <f>IF($S23="A",$T23,NA())</f>
        <v/>
      </c>
      <c r="Z23" s="100">
        <f>IF(OR($S23="A",$S23="B"),$T23,NA())</f>
        <v/>
      </c>
      <c r="AA23" s="100">
        <f>$T23</f>
        <v/>
      </c>
      <c r="AB23">
        <f>IFERROR($G23+(41-ROW())/1000000000,0)</f>
        <v/>
      </c>
    </row>
    <row r="24" ht="18" customHeight="1">
      <c r="A24" s="47">
        <f>IF($I24&lt;=$B$9,"A",IF($I24&lt;=$B$10,"B","C"))</f>
        <v/>
      </c>
      <c r="B24" s="48" t="inlineStr">
        <is>
          <t>SKU13</t>
        </is>
      </c>
      <c r="C24" s="48" t="n">
        <v>20</v>
      </c>
      <c r="D24" s="49" t="inlineStr">
        <is>
          <t>HD Externo 2TB</t>
        </is>
      </c>
      <c r="E24" s="50" t="n">
        <v>18</v>
      </c>
      <c r="F24" s="51" t="n">
        <v>420</v>
      </c>
      <c r="G24" s="52">
        <f>IFERROR(E24*F24,0)</f>
        <v/>
      </c>
      <c r="H24" s="53">
        <f>IFERROR(G24/SUM($G$12:$G$41),0)</f>
        <v/>
      </c>
      <c r="I24" s="98">
        <f>IFERROR((SUMPRODUCT(($G$12:$G$41&gt;$G24)*$G$12:$G$41)+SUMPRODUCT(($G$12:$G$41=$G24)*(ROW($G$12:$G$41)&lt;=ROW($G24))*$G$12:$G$41))/SUM($G$12:$G$41),0)</f>
        <v/>
      </c>
      <c r="P24" t="n">
        <v>13</v>
      </c>
      <c r="Q24">
        <f>IFERROR(INDEX($B$12:$B$41,MATCH(LARGE($AB$12:$AB$41,$P24),$AB$12:$AB$41,0)),"")</f>
        <v/>
      </c>
      <c r="R24" s="99">
        <f>IFERROR(INDEX($G$12:$G$41,MATCH(LARGE($AB$12:$AB$41,$P24),$AB$12:$AB$41,0)),0)</f>
        <v/>
      </c>
      <c r="S24">
        <f>IF($T24&lt;=$B$9,"A",IF($T24&lt;=$B$10,"B","C"))</f>
        <v/>
      </c>
      <c r="T24" s="100">
        <f>IFERROR($T23+$R24/SUM($G$12:$G$41),0)</f>
        <v/>
      </c>
      <c r="U24" s="100">
        <f>IFERROR($R24/SUM($G$12:$G$41),0)</f>
        <v/>
      </c>
      <c r="V24" s="100">
        <f>IF($S24="A",$U24,NA())</f>
        <v/>
      </c>
      <c r="W24" s="100">
        <f>IF($S24="B",$U24,NA())</f>
        <v/>
      </c>
      <c r="X24" s="100">
        <f>IF($S24="C",$U24,NA())</f>
        <v/>
      </c>
      <c r="Y24" s="100">
        <f>IF($S24="A",$T24,NA())</f>
        <v/>
      </c>
      <c r="Z24" s="100">
        <f>IF(OR($S24="A",$S24="B"),$T24,NA())</f>
        <v/>
      </c>
      <c r="AA24" s="100">
        <f>$T24</f>
        <v/>
      </c>
      <c r="AB24">
        <f>IFERROR($G24+(41-ROW())/1000000000,0)</f>
        <v/>
      </c>
    </row>
    <row r="25" ht="18" customHeight="1">
      <c r="A25" s="47">
        <f>IF($I25&lt;=$B$9,"A",IF($I25&lt;=$B$10,"B","C"))</f>
        <v/>
      </c>
      <c r="B25" s="48" t="inlineStr">
        <is>
          <t>SKU14</t>
        </is>
      </c>
      <c r="C25" s="48" t="n">
        <v>5</v>
      </c>
      <c r="D25" s="49" t="inlineStr">
        <is>
          <t>Teclado Mecanico RGB</t>
        </is>
      </c>
      <c r="E25" s="50" t="n">
        <v>30</v>
      </c>
      <c r="F25" s="51" t="n">
        <v>250</v>
      </c>
      <c r="G25" s="52">
        <f>IFERROR(E25*F25,0)</f>
        <v/>
      </c>
      <c r="H25" s="53">
        <f>IFERROR(G25/SUM($G$12:$G$41),0)</f>
        <v/>
      </c>
      <c r="I25" s="98">
        <f>IFERROR((SUMPRODUCT(($G$12:$G$41&gt;$G25)*$G$12:$G$41)+SUMPRODUCT(($G$12:$G$41=$G25)*(ROW($G$12:$G$41)&lt;=ROW($G25))*$G$12:$G$41))/SUM($G$12:$G$41),0)</f>
        <v/>
      </c>
      <c r="P25" t="n">
        <v>14</v>
      </c>
      <c r="Q25">
        <f>IFERROR(INDEX($B$12:$B$41,MATCH(LARGE($AB$12:$AB$41,$P25),$AB$12:$AB$41,0)),"")</f>
        <v/>
      </c>
      <c r="R25" s="99">
        <f>IFERROR(INDEX($G$12:$G$41,MATCH(LARGE($AB$12:$AB$41,$P25),$AB$12:$AB$41,0)),0)</f>
        <v/>
      </c>
      <c r="S25">
        <f>IF($T25&lt;=$B$9,"A",IF($T25&lt;=$B$10,"B","C"))</f>
        <v/>
      </c>
      <c r="T25" s="100">
        <f>IFERROR($T24+$R25/SUM($G$12:$G$41),0)</f>
        <v/>
      </c>
      <c r="U25" s="100">
        <f>IFERROR($R25/SUM($G$12:$G$41),0)</f>
        <v/>
      </c>
      <c r="V25" s="100">
        <f>IF($S25="A",$U25,NA())</f>
        <v/>
      </c>
      <c r="W25" s="100">
        <f>IF($S25="B",$U25,NA())</f>
        <v/>
      </c>
      <c r="X25" s="100">
        <f>IF($S25="C",$U25,NA())</f>
        <v/>
      </c>
      <c r="Y25" s="100">
        <f>IF($S25="A",$T25,NA())</f>
        <v/>
      </c>
      <c r="Z25" s="100">
        <f>IF(OR($S25="A",$S25="B"),$T25,NA())</f>
        <v/>
      </c>
      <c r="AA25" s="100">
        <f>$T25</f>
        <v/>
      </c>
      <c r="AB25">
        <f>IFERROR($G25+(41-ROW())/1000000000,0)</f>
        <v/>
      </c>
    </row>
    <row r="26" ht="18" customHeight="1">
      <c r="A26" s="47">
        <f>IF($I26&lt;=$B$9,"A",IF($I26&lt;=$B$10,"B","C"))</f>
        <v/>
      </c>
      <c r="B26" s="48" t="inlineStr">
        <is>
          <t>SKU15</t>
        </is>
      </c>
      <c r="C26" s="48" t="n">
        <v>9</v>
      </c>
      <c r="D26" s="49" t="inlineStr">
        <is>
          <t>Pen Drive 64GB</t>
        </is>
      </c>
      <c r="E26" s="50" t="n">
        <v>150</v>
      </c>
      <c r="F26" s="51" t="n">
        <v>45</v>
      </c>
      <c r="G26" s="52">
        <f>IFERROR(E26*F26,0)</f>
        <v/>
      </c>
      <c r="H26" s="53">
        <f>IFERROR(G26/SUM($G$12:$G$41),0)</f>
        <v/>
      </c>
      <c r="I26" s="98">
        <f>IFERROR((SUMPRODUCT(($G$12:$G$41&gt;$G26)*$G$12:$G$41)+SUMPRODUCT(($G$12:$G$41=$G26)*(ROW($G$12:$G$41)&lt;=ROW($G26))*$G$12:$G$41))/SUM($G$12:$G$41),0)</f>
        <v/>
      </c>
      <c r="P26" t="n">
        <v>15</v>
      </c>
      <c r="Q26">
        <f>IFERROR(INDEX($B$12:$B$41,MATCH(LARGE($AB$12:$AB$41,$P26),$AB$12:$AB$41,0)),"")</f>
        <v/>
      </c>
      <c r="R26" s="99">
        <f>IFERROR(INDEX($G$12:$G$41,MATCH(LARGE($AB$12:$AB$41,$P26),$AB$12:$AB$41,0)),0)</f>
        <v/>
      </c>
      <c r="S26">
        <f>IF($T26&lt;=$B$9,"A",IF($T26&lt;=$B$10,"B","C"))</f>
        <v/>
      </c>
      <c r="T26" s="100">
        <f>IFERROR($T25+$R26/SUM($G$12:$G$41),0)</f>
        <v/>
      </c>
      <c r="U26" s="100">
        <f>IFERROR($R26/SUM($G$12:$G$41),0)</f>
        <v/>
      </c>
      <c r="V26" s="100">
        <f>IF($S26="A",$U26,NA())</f>
        <v/>
      </c>
      <c r="W26" s="100">
        <f>IF($S26="B",$U26,NA())</f>
        <v/>
      </c>
      <c r="X26" s="100">
        <f>IF($S26="C",$U26,NA())</f>
        <v/>
      </c>
      <c r="Y26" s="100">
        <f>IF($S26="A",$T26,NA())</f>
        <v/>
      </c>
      <c r="Z26" s="100">
        <f>IF(OR($S26="A",$S26="B"),$T26,NA())</f>
        <v/>
      </c>
      <c r="AA26" s="100">
        <f>$T26</f>
        <v/>
      </c>
      <c r="AB26">
        <f>IFERROR($G26+(41-ROW())/1000000000,0)</f>
        <v/>
      </c>
    </row>
    <row r="27" ht="18" customHeight="1">
      <c r="A27" s="47">
        <f>IF($I27&lt;=$B$9,"A",IF($I27&lt;=$B$10,"B","C"))</f>
        <v/>
      </c>
      <c r="B27" s="48" t="inlineStr">
        <is>
          <t>SKU16</t>
        </is>
      </c>
      <c r="C27" s="48" t="n">
        <v>13</v>
      </c>
      <c r="D27" s="49" t="inlineStr">
        <is>
          <t>Headset com Microfone</t>
        </is>
      </c>
      <c r="E27" s="50" t="n">
        <v>60</v>
      </c>
      <c r="F27" s="51" t="n">
        <v>110</v>
      </c>
      <c r="G27" s="52">
        <f>IFERROR(E27*F27,0)</f>
        <v/>
      </c>
      <c r="H27" s="53">
        <f>IFERROR(G27/SUM($G$12:$G$41),0)</f>
        <v/>
      </c>
      <c r="I27" s="98">
        <f>IFERROR((SUMPRODUCT(($G$12:$G$41&gt;$G27)*$G$12:$G$41)+SUMPRODUCT(($G$12:$G$41=$G27)*(ROW($G$12:$G$41)&lt;=ROW($G27))*$G$12:$G$41))/SUM($G$12:$G$41),0)</f>
        <v/>
      </c>
      <c r="P27" t="n">
        <v>16</v>
      </c>
      <c r="Q27">
        <f>IFERROR(INDEX($B$12:$B$41,MATCH(LARGE($AB$12:$AB$41,$P27),$AB$12:$AB$41,0)),"")</f>
        <v/>
      </c>
      <c r="R27" s="99">
        <f>IFERROR(INDEX($G$12:$G$41,MATCH(LARGE($AB$12:$AB$41,$P27),$AB$12:$AB$41,0)),0)</f>
        <v/>
      </c>
      <c r="S27">
        <f>IF($T27&lt;=$B$9,"A",IF($T27&lt;=$B$10,"B","C"))</f>
        <v/>
      </c>
      <c r="T27" s="100">
        <f>IFERROR($T26+$R27/SUM($G$12:$G$41),0)</f>
        <v/>
      </c>
      <c r="U27" s="100">
        <f>IFERROR($R27/SUM($G$12:$G$41),0)</f>
        <v/>
      </c>
      <c r="V27" s="100">
        <f>IF($S27="A",$U27,NA())</f>
        <v/>
      </c>
      <c r="W27" s="100">
        <f>IF($S27="B",$U27,NA())</f>
        <v/>
      </c>
      <c r="X27" s="100">
        <f>IF($S27="C",$U27,NA())</f>
        <v/>
      </c>
      <c r="Y27" s="100">
        <f>IF($S27="A",$T27,NA())</f>
        <v/>
      </c>
      <c r="Z27" s="100">
        <f>IF(OR($S27="A",$S27="B"),$T27,NA())</f>
        <v/>
      </c>
      <c r="AA27" s="100">
        <f>$T27</f>
        <v/>
      </c>
      <c r="AB27">
        <f>IFERROR($G27+(41-ROW())/1000000000,0)</f>
        <v/>
      </c>
    </row>
    <row r="28" ht="18" customHeight="1">
      <c r="A28" s="47">
        <f>IF($I28&lt;=$B$9,"A",IF($I28&lt;=$B$10,"B","C"))</f>
        <v/>
      </c>
      <c r="B28" s="48" t="inlineStr">
        <is>
          <t>SKU17</t>
        </is>
      </c>
      <c r="C28" s="48" t="n">
        <v>7</v>
      </c>
      <c r="D28" s="49" t="inlineStr">
        <is>
          <t>Pacote de Papel A4</t>
        </is>
      </c>
      <c r="E28" s="50" t="n">
        <v>200</v>
      </c>
      <c r="F28" s="51" t="n">
        <v>28</v>
      </c>
      <c r="G28" s="52">
        <f>IFERROR(E28*F28,0)</f>
        <v/>
      </c>
      <c r="H28" s="53">
        <f>IFERROR(G28/SUM($G$12:$G$41),0)</f>
        <v/>
      </c>
      <c r="I28" s="98">
        <f>IFERROR((SUMPRODUCT(($G$12:$G$41&gt;$G28)*$G$12:$G$41)+SUMPRODUCT(($G$12:$G$41=$G28)*(ROW($G$12:$G$41)&lt;=ROW($G28))*$G$12:$G$41))/SUM($G$12:$G$41),0)</f>
        <v/>
      </c>
      <c r="P28" t="n">
        <v>17</v>
      </c>
      <c r="Q28">
        <f>IFERROR(INDEX($B$12:$B$41,MATCH(LARGE($AB$12:$AB$41,$P28),$AB$12:$AB$41,0)),"")</f>
        <v/>
      </c>
      <c r="R28" s="99">
        <f>IFERROR(INDEX($G$12:$G$41,MATCH(LARGE($AB$12:$AB$41,$P28),$AB$12:$AB$41,0)),0)</f>
        <v/>
      </c>
      <c r="S28">
        <f>IF($T28&lt;=$B$9,"A",IF($T28&lt;=$B$10,"B","C"))</f>
        <v/>
      </c>
      <c r="T28" s="100">
        <f>IFERROR($T27+$R28/SUM($G$12:$G$41),0)</f>
        <v/>
      </c>
      <c r="U28" s="100">
        <f>IFERROR($R28/SUM($G$12:$G$41),0)</f>
        <v/>
      </c>
      <c r="V28" s="100">
        <f>IF($S28="A",$U28,NA())</f>
        <v/>
      </c>
      <c r="W28" s="100">
        <f>IF($S28="B",$U28,NA())</f>
        <v/>
      </c>
      <c r="X28" s="100">
        <f>IF($S28="C",$U28,NA())</f>
        <v/>
      </c>
      <c r="Y28" s="100">
        <f>IF($S28="A",$T28,NA())</f>
        <v/>
      </c>
      <c r="Z28" s="100">
        <f>IF(OR($S28="A",$S28="B"),$T28,NA())</f>
        <v/>
      </c>
      <c r="AA28" s="100">
        <f>$T28</f>
        <v/>
      </c>
      <c r="AB28">
        <f>IFERROR($G28+(41-ROW())/1000000000,0)</f>
        <v/>
      </c>
    </row>
    <row r="29" ht="18" customHeight="1">
      <c r="A29" s="47">
        <f>IF($I29&lt;=$B$9,"A",IF($I29&lt;=$B$10,"B","C"))</f>
        <v/>
      </c>
      <c r="B29" s="48" t="inlineStr">
        <is>
          <t>SKU18</t>
        </is>
      </c>
      <c r="C29" s="48" t="n">
        <v>29</v>
      </c>
      <c r="D29" s="49" t="inlineStr">
        <is>
          <t>Teclado de Entrada</t>
        </is>
      </c>
      <c r="E29" s="50" t="n">
        <v>100</v>
      </c>
      <c r="F29" s="51" t="n">
        <v>45</v>
      </c>
      <c r="G29" s="52">
        <f>IFERROR(E29*F29,0)</f>
        <v/>
      </c>
      <c r="H29" s="53">
        <f>IFERROR(G29/SUM($G$12:$G$41),0)</f>
        <v/>
      </c>
      <c r="I29" s="98">
        <f>IFERROR((SUMPRODUCT(($G$12:$G$41&gt;$G29)*$G$12:$G$41)+SUMPRODUCT(($G$12:$G$41=$G29)*(ROW($G$12:$G$41)&lt;=ROW($G29))*$G$12:$G$41))/SUM($G$12:$G$41),0)</f>
        <v/>
      </c>
      <c r="P29" t="n">
        <v>18</v>
      </c>
      <c r="Q29">
        <f>IFERROR(INDEX($B$12:$B$41,MATCH(LARGE($AB$12:$AB$41,$P29),$AB$12:$AB$41,0)),"")</f>
        <v/>
      </c>
      <c r="R29" s="99">
        <f>IFERROR(INDEX($G$12:$G$41,MATCH(LARGE($AB$12:$AB$41,$P29),$AB$12:$AB$41,0)),0)</f>
        <v/>
      </c>
      <c r="S29">
        <f>IF($T29&lt;=$B$9,"A",IF($T29&lt;=$B$10,"B","C"))</f>
        <v/>
      </c>
      <c r="T29" s="100">
        <f>IFERROR($T28+$R29/SUM($G$12:$G$41),0)</f>
        <v/>
      </c>
      <c r="U29" s="100">
        <f>IFERROR($R29/SUM($G$12:$G$41),0)</f>
        <v/>
      </c>
      <c r="V29" s="100">
        <f>IF($S29="A",$U29,NA())</f>
        <v/>
      </c>
      <c r="W29" s="100">
        <f>IF($S29="B",$U29,NA())</f>
        <v/>
      </c>
      <c r="X29" s="100">
        <f>IF($S29="C",$U29,NA())</f>
        <v/>
      </c>
      <c r="Y29" s="100">
        <f>IF($S29="A",$T29,NA())</f>
        <v/>
      </c>
      <c r="Z29" s="100">
        <f>IF(OR($S29="A",$S29="B"),$T29,NA())</f>
        <v/>
      </c>
      <c r="AA29" s="100">
        <f>$T29</f>
        <v/>
      </c>
      <c r="AB29">
        <f>IFERROR($G29+(41-ROW())/1000000000,0)</f>
        <v/>
      </c>
    </row>
    <row r="30" ht="18" customHeight="1">
      <c r="A30" s="47">
        <f>IF($I30&lt;=$B$9,"A",IF($I30&lt;=$B$10,"B","C"))</f>
        <v/>
      </c>
      <c r="B30" s="48" t="inlineStr">
        <is>
          <t>SKU19</t>
        </is>
      </c>
      <c r="C30" s="48" t="n">
        <v>18</v>
      </c>
      <c r="D30" s="49" t="inlineStr">
        <is>
          <t>Filtro de Linha</t>
        </is>
      </c>
      <c r="E30" s="50" t="n">
        <v>110</v>
      </c>
      <c r="F30" s="51" t="n">
        <v>40</v>
      </c>
      <c r="G30" s="52">
        <f>IFERROR(E30*F30,0)</f>
        <v/>
      </c>
      <c r="H30" s="53">
        <f>IFERROR(G30/SUM($G$12:$G$41),0)</f>
        <v/>
      </c>
      <c r="I30" s="98">
        <f>IFERROR((SUMPRODUCT(($G$12:$G$41&gt;$G30)*$G$12:$G$41)+SUMPRODUCT(($G$12:$G$41=$G30)*(ROW($G$12:$G$41)&lt;=ROW($G30))*$G$12:$G$41))/SUM($G$12:$G$41),0)</f>
        <v/>
      </c>
      <c r="P30" t="n">
        <v>19</v>
      </c>
      <c r="Q30">
        <f>IFERROR(INDEX($B$12:$B$41,MATCH(LARGE($AB$12:$AB$41,$P30),$AB$12:$AB$41,0)),"")</f>
        <v/>
      </c>
      <c r="R30" s="99">
        <f>IFERROR(INDEX($G$12:$G$41,MATCH(LARGE($AB$12:$AB$41,$P30),$AB$12:$AB$41,0)),0)</f>
        <v/>
      </c>
      <c r="S30">
        <f>IF($T30&lt;=$B$9,"A",IF($T30&lt;=$B$10,"B","C"))</f>
        <v/>
      </c>
      <c r="T30" s="100">
        <f>IFERROR($T29+$R30/SUM($G$12:$G$41),0)</f>
        <v/>
      </c>
      <c r="U30" s="100">
        <f>IFERROR($R30/SUM($G$12:$G$41),0)</f>
        <v/>
      </c>
      <c r="V30" s="100">
        <f>IF($S30="A",$U30,NA())</f>
        <v/>
      </c>
      <c r="W30" s="100">
        <f>IF($S30="B",$U30,NA())</f>
        <v/>
      </c>
      <c r="X30" s="100">
        <f>IF($S30="C",$U30,NA())</f>
        <v/>
      </c>
      <c r="Y30" s="100">
        <f>IF($S30="A",$T30,NA())</f>
        <v/>
      </c>
      <c r="Z30" s="100">
        <f>IF(OR($S30="A",$S30="B"),$T30,NA())</f>
        <v/>
      </c>
      <c r="AA30" s="100">
        <f>$T30</f>
        <v/>
      </c>
      <c r="AB30">
        <f>IFERROR($G30+(41-ROW())/1000000000,0)</f>
        <v/>
      </c>
    </row>
    <row r="31" ht="18" customHeight="1">
      <c r="A31" s="47">
        <f>IF($I31&lt;=$B$9,"A",IF($I31&lt;=$B$10,"B","C"))</f>
        <v/>
      </c>
      <c r="B31" s="48" t="inlineStr">
        <is>
          <t>SKU20</t>
        </is>
      </c>
      <c r="C31" s="48" t="n">
        <v>14</v>
      </c>
      <c r="D31" s="49" t="inlineStr">
        <is>
          <t>Webcam Full HD</t>
        </is>
      </c>
      <c r="E31" s="50" t="n">
        <v>22</v>
      </c>
      <c r="F31" s="51" t="n">
        <v>180</v>
      </c>
      <c r="G31" s="52">
        <f>IFERROR(E31*F31,0)</f>
        <v/>
      </c>
      <c r="H31" s="53">
        <f>IFERROR(G31/SUM($G$12:$G$41),0)</f>
        <v/>
      </c>
      <c r="I31" s="98">
        <f>IFERROR((SUMPRODUCT(($G$12:$G$41&gt;$G31)*$G$12:$G$41)+SUMPRODUCT(($G$12:$G$41=$G31)*(ROW($G$12:$G$41)&lt;=ROW($G31))*$G$12:$G$41))/SUM($G$12:$G$41),0)</f>
        <v/>
      </c>
      <c r="P31" t="n">
        <v>20</v>
      </c>
      <c r="Q31">
        <f>IFERROR(INDEX($B$12:$B$41,MATCH(LARGE($AB$12:$AB$41,$P31),$AB$12:$AB$41,0)),"")</f>
        <v/>
      </c>
      <c r="R31" s="99">
        <f>IFERROR(INDEX($G$12:$G$41,MATCH(LARGE($AB$12:$AB$41,$P31),$AB$12:$AB$41,0)),0)</f>
        <v/>
      </c>
      <c r="S31">
        <f>IF($T31&lt;=$B$9,"A",IF($T31&lt;=$B$10,"B","C"))</f>
        <v/>
      </c>
      <c r="T31" s="100">
        <f>IFERROR($T30+$R31/SUM($G$12:$G$41),0)</f>
        <v/>
      </c>
      <c r="U31" s="100">
        <f>IFERROR($R31/SUM($G$12:$G$41),0)</f>
        <v/>
      </c>
      <c r="V31" s="100">
        <f>IF($S31="A",$U31,NA())</f>
        <v/>
      </c>
      <c r="W31" s="100">
        <f>IF($S31="B",$U31,NA())</f>
        <v/>
      </c>
      <c r="X31" s="100">
        <f>IF($S31="C",$U31,NA())</f>
        <v/>
      </c>
      <c r="Y31" s="100">
        <f>IF($S31="A",$T31,NA())</f>
        <v/>
      </c>
      <c r="Z31" s="100">
        <f>IF(OR($S31="A",$S31="B"),$T31,NA())</f>
        <v/>
      </c>
      <c r="AA31" s="100">
        <f>$T31</f>
        <v/>
      </c>
      <c r="AB31">
        <f>IFERROR($G31+(41-ROW())/1000000000,0)</f>
        <v/>
      </c>
    </row>
    <row r="32" ht="18" customHeight="1">
      <c r="A32" s="47">
        <f>IF($I32&lt;=$B$9,"A",IF($I32&lt;=$B$10,"B","C"))</f>
        <v/>
      </c>
      <c r="B32" s="48" t="inlineStr">
        <is>
          <t>SKU21</t>
        </is>
      </c>
      <c r="C32" s="48" t="n">
        <v>23</v>
      </c>
      <c r="D32" s="49" t="inlineStr">
        <is>
          <t>Pilhas AA (Pacote)</t>
        </is>
      </c>
      <c r="E32" s="50" t="n">
        <v>300</v>
      </c>
      <c r="F32" s="51" t="n">
        <v>12</v>
      </c>
      <c r="G32" s="52">
        <f>IFERROR(E32*F32,0)</f>
        <v/>
      </c>
      <c r="H32" s="53">
        <f>IFERROR(G32/SUM($G$12:$G$41),0)</f>
        <v/>
      </c>
      <c r="I32" s="98">
        <f>IFERROR((SUMPRODUCT(($G$12:$G$41&gt;$G32)*$G$12:$G$41)+SUMPRODUCT(($G$12:$G$41=$G32)*(ROW($G$12:$G$41)&lt;=ROW($G32))*$G$12:$G$41))/SUM($G$12:$G$41),0)</f>
        <v/>
      </c>
      <c r="P32" t="n">
        <v>21</v>
      </c>
      <c r="Q32">
        <f>IFERROR(INDEX($B$12:$B$41,MATCH(LARGE($AB$12:$AB$41,$P32),$AB$12:$AB$41,0)),"")</f>
        <v/>
      </c>
      <c r="R32" s="99">
        <f>IFERROR(INDEX($G$12:$G$41,MATCH(LARGE($AB$12:$AB$41,$P32),$AB$12:$AB$41,0)),0)</f>
        <v/>
      </c>
      <c r="S32">
        <f>IF($T32&lt;=$B$9,"A",IF($T32&lt;=$B$10,"B","C"))</f>
        <v/>
      </c>
      <c r="T32" s="100">
        <f>IFERROR($T31+$R32/SUM($G$12:$G$41),0)</f>
        <v/>
      </c>
      <c r="U32" s="100">
        <f>IFERROR($R32/SUM($G$12:$G$41),0)</f>
        <v/>
      </c>
      <c r="V32" s="100">
        <f>IF($S32="A",$U32,NA())</f>
        <v/>
      </c>
      <c r="W32" s="100">
        <f>IF($S32="B",$U32,NA())</f>
        <v/>
      </c>
      <c r="X32" s="100">
        <f>IF($S32="C",$U32,NA())</f>
        <v/>
      </c>
      <c r="Y32" s="100">
        <f>IF($S32="A",$T32,NA())</f>
        <v/>
      </c>
      <c r="Z32" s="100">
        <f>IF(OR($S32="A",$S32="B"),$T32,NA())</f>
        <v/>
      </c>
      <c r="AA32" s="100">
        <f>$T32</f>
        <v/>
      </c>
      <c r="AB32">
        <f>IFERROR($G32+(41-ROW())/1000000000,0)</f>
        <v/>
      </c>
    </row>
    <row r="33" ht="18" customHeight="1">
      <c r="A33" s="47">
        <f>IF($I33&lt;=$B$9,"A",IF($I33&lt;=$B$10,"B","C"))</f>
        <v/>
      </c>
      <c r="B33" s="48" t="inlineStr">
        <is>
          <t>SKU22</t>
        </is>
      </c>
      <c r="C33" s="48" t="n">
        <v>16</v>
      </c>
      <c r="D33" s="49" t="inlineStr">
        <is>
          <t>Adaptador USB-C</t>
        </is>
      </c>
      <c r="E33" s="50" t="n">
        <v>90</v>
      </c>
      <c r="F33" s="51" t="n">
        <v>35</v>
      </c>
      <c r="G33" s="52">
        <f>IFERROR(E33*F33,0)</f>
        <v/>
      </c>
      <c r="H33" s="53">
        <f>IFERROR(G33/SUM($G$12:$G$41),0)</f>
        <v/>
      </c>
      <c r="I33" s="98">
        <f>IFERROR((SUMPRODUCT(($G$12:$G$41&gt;$G33)*$G$12:$G$41)+SUMPRODUCT(($G$12:$G$41=$G33)*(ROW($G$12:$G$41)&lt;=ROW($G33))*$G$12:$G$41))/SUM($G$12:$G$41),0)</f>
        <v/>
      </c>
      <c r="P33" t="n">
        <v>22</v>
      </c>
      <c r="Q33">
        <f>IFERROR(INDEX($B$12:$B$41,MATCH(LARGE($AB$12:$AB$41,$P33),$AB$12:$AB$41,0)),"")</f>
        <v/>
      </c>
      <c r="R33" s="99">
        <f>IFERROR(INDEX($G$12:$G$41,MATCH(LARGE($AB$12:$AB$41,$P33),$AB$12:$AB$41,0)),0)</f>
        <v/>
      </c>
      <c r="S33">
        <f>IF($T33&lt;=$B$9,"A",IF($T33&lt;=$B$10,"B","C"))</f>
        <v/>
      </c>
      <c r="T33" s="100">
        <f>IFERROR($T32+$R33/SUM($G$12:$G$41),0)</f>
        <v/>
      </c>
      <c r="U33" s="100">
        <f>IFERROR($R33/SUM($G$12:$G$41),0)</f>
        <v/>
      </c>
      <c r="V33" s="100">
        <f>IF($S33="A",$U33,NA())</f>
        <v/>
      </c>
      <c r="W33" s="100">
        <f>IF($S33="B",$U33,NA())</f>
        <v/>
      </c>
      <c r="X33" s="100">
        <f>IF($S33="C",$U33,NA())</f>
        <v/>
      </c>
      <c r="Y33" s="100">
        <f>IF($S33="A",$T33,NA())</f>
        <v/>
      </c>
      <c r="Z33" s="100">
        <f>IF(OR($S33="A",$S33="B"),$T33,NA())</f>
        <v/>
      </c>
      <c r="AA33" s="100">
        <f>$T33</f>
        <v/>
      </c>
      <c r="AB33">
        <f>IFERROR($G33+(41-ROW())/1000000000,0)</f>
        <v/>
      </c>
    </row>
    <row r="34" ht="18" customHeight="1">
      <c r="A34" s="47">
        <f>IF($I34&lt;=$B$9,"A",IF($I34&lt;=$B$10,"B","C"))</f>
        <v/>
      </c>
      <c r="B34" s="48" t="inlineStr">
        <is>
          <t>SKU23</t>
        </is>
      </c>
      <c r="C34" s="48" t="n">
        <v>28</v>
      </c>
      <c r="D34" s="49" t="inlineStr">
        <is>
          <t>Suporte para Monitor</t>
        </is>
      </c>
      <c r="E34" s="50" t="n">
        <v>20</v>
      </c>
      <c r="F34" s="51" t="n">
        <v>140</v>
      </c>
      <c r="G34" s="52">
        <f>IFERROR(E34*F34,0)</f>
        <v/>
      </c>
      <c r="H34" s="53">
        <f>IFERROR(G34/SUM($G$12:$G$41),0)</f>
        <v/>
      </c>
      <c r="I34" s="98">
        <f>IFERROR((SUMPRODUCT(($G$12:$G$41&gt;$G34)*$G$12:$G$41)+SUMPRODUCT(($G$12:$G$41=$G34)*(ROW($G$12:$G$41)&lt;=ROW($G34))*$G$12:$G$41))/SUM($G$12:$G$41),0)</f>
        <v/>
      </c>
      <c r="P34" t="n">
        <v>23</v>
      </c>
      <c r="Q34">
        <f>IFERROR(INDEX($B$12:$B$41,MATCH(LARGE($AB$12:$AB$41,$P34),$AB$12:$AB$41,0)),"")</f>
        <v/>
      </c>
      <c r="R34" s="99">
        <f>IFERROR(INDEX($G$12:$G$41,MATCH(LARGE($AB$12:$AB$41,$P34),$AB$12:$AB$41,0)),0)</f>
        <v/>
      </c>
      <c r="S34">
        <f>IF($T34&lt;=$B$9,"A",IF($T34&lt;=$B$10,"B","C"))</f>
        <v/>
      </c>
      <c r="T34" s="100">
        <f>IFERROR($T33+$R34/SUM($G$12:$G$41),0)</f>
        <v/>
      </c>
      <c r="U34" s="100">
        <f>IFERROR($R34/SUM($G$12:$G$41),0)</f>
        <v/>
      </c>
      <c r="V34" s="100">
        <f>IF($S34="A",$U34,NA())</f>
        <v/>
      </c>
      <c r="W34" s="100">
        <f>IF($S34="B",$U34,NA())</f>
        <v/>
      </c>
      <c r="X34" s="100">
        <f>IF($S34="C",$U34,NA())</f>
        <v/>
      </c>
      <c r="Y34" s="100">
        <f>IF($S34="A",$T34,NA())</f>
        <v/>
      </c>
      <c r="Z34" s="100">
        <f>IF(OR($S34="A",$S34="B"),$T34,NA())</f>
        <v/>
      </c>
      <c r="AA34" s="100">
        <f>$T34</f>
        <v/>
      </c>
      <c r="AB34">
        <f>IFERROR($G34+(41-ROW())/1000000000,0)</f>
        <v/>
      </c>
    </row>
    <row r="35" ht="18" customHeight="1">
      <c r="A35" s="47">
        <f>IF($I35&lt;=$B$9,"A",IF($I35&lt;=$B$10,"B","C"))</f>
        <v/>
      </c>
      <c r="B35" s="48" t="inlineStr">
        <is>
          <t>SKU24</t>
        </is>
      </c>
      <c r="C35" s="48" t="n">
        <v>1</v>
      </c>
      <c r="D35" s="49" t="inlineStr">
        <is>
          <t>Cabo HDMI 2m</t>
        </is>
      </c>
      <c r="E35" s="50" t="n">
        <v>85</v>
      </c>
      <c r="F35" s="51" t="n">
        <v>25</v>
      </c>
      <c r="G35" s="52">
        <f>IFERROR(E35*F35,0)</f>
        <v/>
      </c>
      <c r="H35" s="53">
        <f>IFERROR(G35/SUM($G$12:$G$41),0)</f>
        <v/>
      </c>
      <c r="I35" s="98">
        <f>IFERROR((SUMPRODUCT(($G$12:$G$41&gt;$G35)*$G$12:$G$41)+SUMPRODUCT(($G$12:$G$41=$G35)*(ROW($G$12:$G$41)&lt;=ROW($G35))*$G$12:$G$41))/SUM($G$12:$G$41),0)</f>
        <v/>
      </c>
      <c r="P35" t="n">
        <v>24</v>
      </c>
      <c r="Q35">
        <f>IFERROR(INDEX($B$12:$B$41,MATCH(LARGE($AB$12:$AB$41,$P35),$AB$12:$AB$41,0)),"")</f>
        <v/>
      </c>
      <c r="R35" s="99">
        <f>IFERROR(INDEX($G$12:$G$41,MATCH(LARGE($AB$12:$AB$41,$P35),$AB$12:$AB$41,0)),0)</f>
        <v/>
      </c>
      <c r="S35">
        <f>IF($T35&lt;=$B$9,"A",IF($T35&lt;=$B$10,"B","C"))</f>
        <v/>
      </c>
      <c r="T35" s="100">
        <f>IFERROR($T34+$R35/SUM($G$12:$G$41),0)</f>
        <v/>
      </c>
      <c r="U35" s="100">
        <f>IFERROR($R35/SUM($G$12:$G$41),0)</f>
        <v/>
      </c>
      <c r="V35" s="100">
        <f>IF($S35="A",$U35,NA())</f>
        <v/>
      </c>
      <c r="W35" s="100">
        <f>IF($S35="B",$U35,NA())</f>
        <v/>
      </c>
      <c r="X35" s="100">
        <f>IF($S35="C",$U35,NA())</f>
        <v/>
      </c>
      <c r="Y35" s="100">
        <f>IF($S35="A",$T35,NA())</f>
        <v/>
      </c>
      <c r="Z35" s="100">
        <f>IF(OR($S35="A",$S35="B"),$T35,NA())</f>
        <v/>
      </c>
      <c r="AA35" s="100">
        <f>$T35</f>
        <v/>
      </c>
      <c r="AB35">
        <f>IFERROR($G35+(41-ROW())/1000000000,0)</f>
        <v/>
      </c>
    </row>
    <row r="36" ht="18" customHeight="1">
      <c r="A36" s="47">
        <f>IF($I36&lt;=$B$9,"A",IF($I36&lt;=$B$10,"B","C"))</f>
        <v/>
      </c>
      <c r="B36" s="48" t="inlineStr">
        <is>
          <t>SKU25</t>
        </is>
      </c>
      <c r="C36" s="48" t="n">
        <v>24</v>
      </c>
      <c r="D36" s="49" t="inlineStr">
        <is>
          <t>Mousepad Simples</t>
        </is>
      </c>
      <c r="E36" s="50" t="n">
        <v>250</v>
      </c>
      <c r="F36" s="51" t="n">
        <v>8</v>
      </c>
      <c r="G36" s="52">
        <f>IFERROR(E36*F36,0)</f>
        <v/>
      </c>
      <c r="H36" s="53">
        <f>IFERROR(G36/SUM($G$12:$G$41),0)</f>
        <v/>
      </c>
      <c r="I36" s="98">
        <f>IFERROR((SUMPRODUCT(($G$12:$G$41&gt;$G36)*$G$12:$G$41)+SUMPRODUCT(($G$12:$G$41=$G36)*(ROW($G$12:$G$41)&lt;=ROW($G36))*$G$12:$G$41))/SUM($G$12:$G$41),0)</f>
        <v/>
      </c>
      <c r="P36" t="n">
        <v>25</v>
      </c>
      <c r="Q36">
        <f>IFERROR(INDEX($B$12:$B$41,MATCH(LARGE($AB$12:$AB$41,$P36),$AB$12:$AB$41,0)),"")</f>
        <v/>
      </c>
      <c r="R36" s="99">
        <f>IFERROR(INDEX($G$12:$G$41,MATCH(LARGE($AB$12:$AB$41,$P36),$AB$12:$AB$41,0)),0)</f>
        <v/>
      </c>
      <c r="S36">
        <f>IF($T36&lt;=$B$9,"A",IF($T36&lt;=$B$10,"B","C"))</f>
        <v/>
      </c>
      <c r="T36" s="100">
        <f>IFERROR($T35+$R36/SUM($G$12:$G$41),0)</f>
        <v/>
      </c>
      <c r="U36" s="100">
        <f>IFERROR($R36/SUM($G$12:$G$41),0)</f>
        <v/>
      </c>
      <c r="V36" s="100">
        <f>IF($S36="A",$U36,NA())</f>
        <v/>
      </c>
      <c r="W36" s="100">
        <f>IF($S36="B",$U36,NA())</f>
        <v/>
      </c>
      <c r="X36" s="100">
        <f>IF($S36="C",$U36,NA())</f>
        <v/>
      </c>
      <c r="Y36" s="100">
        <f>IF($S36="A",$T36,NA())</f>
        <v/>
      </c>
      <c r="Z36" s="100">
        <f>IF(OR($S36="A",$S36="B"),$T36,NA())</f>
        <v/>
      </c>
      <c r="AA36" s="100">
        <f>$T36</f>
        <v/>
      </c>
      <c r="AB36">
        <f>IFERROR($G36+(41-ROW())/1000000000,0)</f>
        <v/>
      </c>
    </row>
    <row r="37" ht="18" customHeight="1">
      <c r="A37" s="47">
        <f>IF($I37&lt;=$B$9,"A",IF($I37&lt;=$B$10,"B","C"))</f>
        <v/>
      </c>
      <c r="B37" s="48" t="inlineStr">
        <is>
          <t>SKU26</t>
        </is>
      </c>
      <c r="C37" s="48" t="n">
        <v>3</v>
      </c>
      <c r="D37" s="49" t="inlineStr">
        <is>
          <t>Mouse Optico Simples</t>
        </is>
      </c>
      <c r="E37" s="50" t="n">
        <v>120</v>
      </c>
      <c r="F37" s="51" t="n">
        <v>15</v>
      </c>
      <c r="G37" s="52">
        <f>IFERROR(E37*F37,0)</f>
        <v/>
      </c>
      <c r="H37" s="53">
        <f>IFERROR(G37/SUM($G$12:$G$41),0)</f>
        <v/>
      </c>
      <c r="I37" s="98">
        <f>IFERROR((SUMPRODUCT(($G$12:$G$41&gt;$G37)*$G$12:$G$41)+SUMPRODUCT(($G$12:$G$41=$G37)*(ROW($G$12:$G$41)&lt;=ROW($G37))*$G$12:$G$41))/SUM($G$12:$G$41),0)</f>
        <v/>
      </c>
      <c r="P37" t="n">
        <v>26</v>
      </c>
      <c r="Q37">
        <f>IFERROR(INDEX($B$12:$B$41,MATCH(LARGE($AB$12:$AB$41,$P37),$AB$12:$AB$41,0)),"")</f>
        <v/>
      </c>
      <c r="R37" s="99">
        <f>IFERROR(INDEX($G$12:$G$41,MATCH(LARGE($AB$12:$AB$41,$P37),$AB$12:$AB$41,0)),0)</f>
        <v/>
      </c>
      <c r="S37">
        <f>IF($T37&lt;=$B$9,"A",IF($T37&lt;=$B$10,"B","C"))</f>
        <v/>
      </c>
      <c r="T37" s="100">
        <f>IFERROR($T36+$R37/SUM($G$12:$G$41),0)</f>
        <v/>
      </c>
      <c r="U37" s="100">
        <f>IFERROR($R37/SUM($G$12:$G$41),0)</f>
        <v/>
      </c>
      <c r="V37" s="100">
        <f>IF($S37="A",$U37,NA())</f>
        <v/>
      </c>
      <c r="W37" s="100">
        <f>IF($S37="B",$U37,NA())</f>
        <v/>
      </c>
      <c r="X37" s="100">
        <f>IF($S37="C",$U37,NA())</f>
        <v/>
      </c>
      <c r="Y37" s="100">
        <f>IF($S37="A",$T37,NA())</f>
        <v/>
      </c>
      <c r="Z37" s="100">
        <f>IF(OR($S37="A",$S37="B"),$T37,NA())</f>
        <v/>
      </c>
      <c r="AA37" s="100">
        <f>$T37</f>
        <v/>
      </c>
      <c r="AB37">
        <f>IFERROR($G37+(41-ROW())/1000000000,0)</f>
        <v/>
      </c>
    </row>
    <row r="38" ht="18" customHeight="1">
      <c r="A38" s="47">
        <f>IF($I38&lt;=$B$9,"A",IF($I38&lt;=$B$10,"B","C"))</f>
        <v/>
      </c>
      <c r="B38" s="48" t="inlineStr">
        <is>
          <t>SKU27</t>
        </is>
      </c>
      <c r="C38" s="48" t="n">
        <v>25</v>
      </c>
      <c r="D38" s="49" t="inlineStr">
        <is>
          <t>Organizador de Cabos</t>
        </is>
      </c>
      <c r="E38" s="50" t="n">
        <v>180</v>
      </c>
      <c r="F38" s="51" t="n">
        <v>10</v>
      </c>
      <c r="G38" s="52">
        <f>IFERROR(E38*F38,0)</f>
        <v/>
      </c>
      <c r="H38" s="53">
        <f>IFERROR(G38/SUM($G$12:$G$41),0)</f>
        <v/>
      </c>
      <c r="I38" s="98">
        <f>IFERROR((SUMPRODUCT(($G$12:$G$41&gt;$G38)*$G$12:$G$41)+SUMPRODUCT(($G$12:$G$41=$G38)*(ROW($G$12:$G$41)&lt;=ROW($G38))*$G$12:$G$41))/SUM($G$12:$G$41),0)</f>
        <v/>
      </c>
      <c r="P38" t="n">
        <v>27</v>
      </c>
      <c r="Q38">
        <f>IFERROR(INDEX($B$12:$B$41,MATCH(LARGE($AB$12:$AB$41,$P38),$AB$12:$AB$41,0)),"")</f>
        <v/>
      </c>
      <c r="R38" s="99">
        <f>IFERROR(INDEX($G$12:$G$41,MATCH(LARGE($AB$12:$AB$41,$P38),$AB$12:$AB$41,0)),0)</f>
        <v/>
      </c>
      <c r="S38">
        <f>IF($T38&lt;=$B$9,"A",IF($T38&lt;=$B$10,"B","C"))</f>
        <v/>
      </c>
      <c r="T38" s="100">
        <f>IFERROR($T37+$R38/SUM($G$12:$G$41),0)</f>
        <v/>
      </c>
      <c r="U38" s="100">
        <f>IFERROR($R38/SUM($G$12:$G$41),0)</f>
        <v/>
      </c>
      <c r="V38" s="100">
        <f>IF($S38="A",$U38,NA())</f>
        <v/>
      </c>
      <c r="W38" s="100">
        <f>IF($S38="B",$U38,NA())</f>
        <v/>
      </c>
      <c r="X38" s="100">
        <f>IF($S38="C",$U38,NA())</f>
        <v/>
      </c>
      <c r="Y38" s="100">
        <f>IF($S38="A",$T38,NA())</f>
        <v/>
      </c>
      <c r="Z38" s="100">
        <f>IF(OR($S38="A",$S38="B"),$T38,NA())</f>
        <v/>
      </c>
      <c r="AA38" s="100">
        <f>$T38</f>
        <v/>
      </c>
      <c r="AB38">
        <f>IFERROR($G38+(41-ROW())/1000000000,0)</f>
        <v/>
      </c>
    </row>
    <row r="39" ht="18" customHeight="1">
      <c r="A39" s="47">
        <f>IF($I39&lt;=$B$9,"A",IF($I39&lt;=$B$10,"B","C"))</f>
        <v/>
      </c>
      <c r="B39" s="48" t="inlineStr">
        <is>
          <t>SKU28</t>
        </is>
      </c>
      <c r="C39" s="48" t="n">
        <v>27</v>
      </c>
      <c r="D39" s="49" t="inlineStr">
        <is>
          <t>Ar comprimido (Lata)</t>
        </is>
      </c>
      <c r="E39" s="50" t="n">
        <v>35</v>
      </c>
      <c r="F39" s="51" t="n">
        <v>45</v>
      </c>
      <c r="G39" s="52">
        <f>IFERROR(E39*F39,0)</f>
        <v/>
      </c>
      <c r="H39" s="53">
        <f>IFERROR(G39/SUM($G$12:$G$41),0)</f>
        <v/>
      </c>
      <c r="I39" s="98">
        <f>IFERROR((SUMPRODUCT(($G$12:$G$41&gt;$G39)*$G$12:$G$41)+SUMPRODUCT(($G$12:$G$41=$G39)*(ROW($G$12:$G$41)&lt;=ROW($G39))*$G$12:$G$41))/SUM($G$12:$G$41),0)</f>
        <v/>
      </c>
      <c r="P39" t="n">
        <v>28</v>
      </c>
      <c r="Q39">
        <f>IFERROR(INDEX($B$12:$B$41,MATCH(LARGE($AB$12:$AB$41,$P39),$AB$12:$AB$41,0)),"")</f>
        <v/>
      </c>
      <c r="R39" s="99">
        <f>IFERROR(INDEX($G$12:$G$41,MATCH(LARGE($AB$12:$AB$41,$P39),$AB$12:$AB$41,0)),0)</f>
        <v/>
      </c>
      <c r="S39">
        <f>IF($T39&lt;=$B$9,"A",IF($T39&lt;=$B$10,"B","C"))</f>
        <v/>
      </c>
      <c r="T39" s="100">
        <f>IFERROR($T38+$R39/SUM($G$12:$G$41),0)</f>
        <v/>
      </c>
      <c r="U39" s="100">
        <f>IFERROR($R39/SUM($G$12:$G$41),0)</f>
        <v/>
      </c>
      <c r="V39" s="100">
        <f>IF($S39="A",$U39,NA())</f>
        <v/>
      </c>
      <c r="W39" s="100">
        <f>IF($S39="B",$U39,NA())</f>
        <v/>
      </c>
      <c r="X39" s="100">
        <f>IF($S39="C",$U39,NA())</f>
        <v/>
      </c>
      <c r="Y39" s="100">
        <f>IF($S39="A",$T39,NA())</f>
        <v/>
      </c>
      <c r="Z39" s="100">
        <f>IF(OR($S39="A",$S39="B"),$T39,NA())</f>
        <v/>
      </c>
      <c r="AA39" s="100">
        <f>$T39</f>
        <v/>
      </c>
      <c r="AB39">
        <f>IFERROR($G39+(41-ROW())/1000000000,0)</f>
        <v/>
      </c>
    </row>
    <row r="40" ht="18" customHeight="1">
      <c r="A40" s="47">
        <f>IF($I40&lt;=$B$9,"A",IF($I40&lt;=$B$10,"B","C"))</f>
        <v/>
      </c>
      <c r="B40" s="48" t="inlineStr">
        <is>
          <t>SKU29</t>
        </is>
      </c>
      <c r="C40" s="48" t="n">
        <v>26</v>
      </c>
      <c r="D40" s="49" t="inlineStr">
        <is>
          <t>Pasta Termica</t>
        </is>
      </c>
      <c r="E40" s="50" t="n">
        <v>45</v>
      </c>
      <c r="F40" s="51" t="n">
        <v>35</v>
      </c>
      <c r="G40" s="52">
        <f>IFERROR(E40*F40,0)</f>
        <v/>
      </c>
      <c r="H40" s="53">
        <f>IFERROR(G40/SUM($G$12:$G$41),0)</f>
        <v/>
      </c>
      <c r="I40" s="98">
        <f>IFERROR((SUMPRODUCT(($G$12:$G$41&gt;$G40)*$G$12:$G$41)+SUMPRODUCT(($G$12:$G$41=$G40)*(ROW($G$12:$G$41)&lt;=ROW($G40))*$G$12:$G$41))/SUM($G$12:$G$41),0)</f>
        <v/>
      </c>
      <c r="P40" t="n">
        <v>29</v>
      </c>
      <c r="Q40">
        <f>IFERROR(INDEX($B$12:$B$41,MATCH(LARGE($AB$12:$AB$41,$P40),$AB$12:$AB$41,0)),"")</f>
        <v/>
      </c>
      <c r="R40" s="99">
        <f>IFERROR(INDEX($G$12:$G$41,MATCH(LARGE($AB$12:$AB$41,$P40),$AB$12:$AB$41,0)),0)</f>
        <v/>
      </c>
      <c r="S40">
        <f>IF($T40&lt;=$B$9,"A",IF($T40&lt;=$B$10,"B","C"))</f>
        <v/>
      </c>
      <c r="T40" s="100">
        <f>IFERROR($T39+$R40/SUM($G$12:$G$41),0)</f>
        <v/>
      </c>
      <c r="U40" s="100">
        <f>IFERROR($R40/SUM($G$12:$G$41),0)</f>
        <v/>
      </c>
      <c r="V40" s="100">
        <f>IF($S40="A",$U40,NA())</f>
        <v/>
      </c>
      <c r="W40" s="100">
        <f>IF($S40="B",$U40,NA())</f>
        <v/>
      </c>
      <c r="X40" s="100">
        <f>IF($S40="C",$U40,NA())</f>
        <v/>
      </c>
      <c r="Y40" s="100">
        <f>IF($S40="A",$T40,NA())</f>
        <v/>
      </c>
      <c r="Z40" s="100">
        <f>IF(OR($S40="A",$S40="B"),$T40,NA())</f>
        <v/>
      </c>
      <c r="AA40" s="100">
        <f>$T40</f>
        <v/>
      </c>
      <c r="AB40">
        <f>IFERROR($G40+(41-ROW())/1000000000,0)</f>
        <v/>
      </c>
    </row>
    <row r="41" ht="18" customHeight="1">
      <c r="A41" s="47">
        <f>IF($I41&lt;=$B$9,"A",IF($I41&lt;=$B$10,"B","C"))</f>
        <v/>
      </c>
      <c r="B41" s="48" t="inlineStr">
        <is>
          <t>SKU30</t>
        </is>
      </c>
      <c r="C41" s="48" t="n">
        <v>30</v>
      </c>
      <c r="D41" s="49" t="inlineStr">
        <is>
          <t>Conector RJ45 (Cento)</t>
        </is>
      </c>
      <c r="E41" s="50" t="n">
        <v>50</v>
      </c>
      <c r="F41" s="51" t="n">
        <v>30</v>
      </c>
      <c r="G41" s="52">
        <f>IFERROR(E41*F41,0)</f>
        <v/>
      </c>
      <c r="H41" s="53">
        <f>IFERROR(G41/SUM($G$12:$G$41),0)</f>
        <v/>
      </c>
      <c r="I41" s="98">
        <f>IFERROR((SUMPRODUCT(($G$12:$G$41&gt;$G41)*$G$12:$G$41)+SUMPRODUCT(($G$12:$G$41=$G41)*(ROW($G$12:$G$41)&lt;=ROW($G41))*$G$12:$G$41))/SUM($G$12:$G$41),0)</f>
        <v/>
      </c>
      <c r="P41" t="n">
        <v>30</v>
      </c>
      <c r="Q41">
        <f>IFERROR(INDEX($B$12:$B$41,MATCH(LARGE($AB$12:$AB$41,$P41),$AB$12:$AB$41,0)),"")</f>
        <v/>
      </c>
      <c r="R41" s="99">
        <f>IFERROR(INDEX($G$12:$G$41,MATCH(LARGE($AB$12:$AB$41,$P41),$AB$12:$AB$41,0)),0)</f>
        <v/>
      </c>
      <c r="S41">
        <f>IF($T41&lt;=$B$9,"A",IF($T41&lt;=$B$10,"B","C"))</f>
        <v/>
      </c>
      <c r="T41" s="100">
        <f>IFERROR($T40+$R41/SUM($G$12:$G$41),0)</f>
        <v/>
      </c>
      <c r="U41" s="100">
        <f>IFERROR($R41/SUM($G$12:$G$41),0)</f>
        <v/>
      </c>
      <c r="V41" s="100">
        <f>IF($S41="A",$U41,NA())</f>
        <v/>
      </c>
      <c r="W41" s="100">
        <f>IF($S41="B",$U41,NA())</f>
        <v/>
      </c>
      <c r="X41" s="100">
        <f>IF($S41="C",$U41,NA())</f>
        <v/>
      </c>
      <c r="Y41" s="100">
        <f>IF($S41="A",$T41,NA())</f>
        <v/>
      </c>
      <c r="Z41" s="100">
        <f>IF(OR($S41="A",$S41="B"),$T41,NA())</f>
        <v/>
      </c>
      <c r="AA41" s="100">
        <f>$T41</f>
        <v/>
      </c>
      <c r="AB41">
        <f>IFERROR($G41+(41-ROW())/1000000000,0)</f>
        <v/>
      </c>
    </row>
    <row r="42" ht="24" customHeight="1">
      <c r="A42" s="54" t="inlineStr">
        <is>
          <t>TOTAL GERAL</t>
        </is>
      </c>
      <c r="B42" s="101" t="n"/>
      <c r="C42" s="101" t="n"/>
      <c r="D42" s="102" t="n"/>
      <c r="E42" s="56">
        <f>SUM(E12:E41)</f>
        <v/>
      </c>
      <c r="F42" s="57" t="n"/>
      <c r="G42" s="58">
        <f>SUM(G12:G41)</f>
        <v/>
      </c>
      <c r="H42" s="59" t="n">
        <v>1</v>
      </c>
      <c r="I42" s="59" t="n">
        <v>1</v>
      </c>
    </row>
    <row r="43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B1"/>
  <mergeCells count="21">
    <mergeCell ref="C6:D6"/>
    <mergeCell ref="C5:D5"/>
    <mergeCell ref="E5:F5"/>
    <mergeCell ref="J1:N1"/>
    <mergeCell ref="A6:B6"/>
    <mergeCell ref="C4:D4"/>
    <mergeCell ref="E4:F4"/>
    <mergeCell ref="A42:D42"/>
    <mergeCell ref="A8:I8"/>
    <mergeCell ref="G6:H6"/>
    <mergeCell ref="A3:B3"/>
    <mergeCell ref="G3:H3"/>
    <mergeCell ref="E6:F6"/>
    <mergeCell ref="A5:B5"/>
    <mergeCell ref="G5:H5"/>
    <mergeCell ref="A4:B4"/>
    <mergeCell ref="G4:H4"/>
    <mergeCell ref="A1:I1"/>
    <mergeCell ref="K8:N8"/>
    <mergeCell ref="C3:D3"/>
    <mergeCell ref="E3:F3"/>
  </mergeCells>
  <conditionalFormatting sqref="A12:I41">
    <cfRule type="expression" priority="1" dxfId="0">
      <formula>$A12="A"</formula>
    </cfRule>
    <cfRule type="expression" priority="3" dxfId="1">
      <formula>$A12="B"</formula>
    </cfRule>
    <cfRule type="expression" priority="5" dxfId="2">
      <formula>$A12="C"</formula>
    </cfRule>
    <cfRule type="expression" priority="7" dxfId="6" stopIfTrue="0">
      <formula>$A12="A"</formula>
    </cfRule>
    <cfRule type="expression" priority="8" dxfId="7" stopIfTrue="0">
      <formula>$A12="B"</formula>
    </cfRule>
    <cfRule type="expression" priority="9" dxfId="8" stopIfTrue="0">
      <formula>$A12="C"</formula>
    </cfRule>
  </conditionalFormatting>
  <conditionalFormatting sqref="A12:A41">
    <cfRule type="expression" priority="2" dxfId="3">
      <formula>$A12="A"</formula>
    </cfRule>
    <cfRule type="expression" priority="4" dxfId="4">
      <formula>$A12="B"</formula>
    </cfRule>
    <cfRule type="expression" priority="6" dxfId="5">
      <formula>$A12="C"</formula>
    </cfRule>
  </conditionalFormatting>
  <dataValidations count="3">
    <dataValidation sqref="B9" showDropDown="0" showInputMessage="1" showErrorMessage="1" allowBlank="0" errorTitle="Valor invalido" error="Digite um decimal entre 0,50 e 0.89 (ex: 0,80 para 80%)" promptTitle="Limite da Curva ABC" prompt="Formato decimal. Ex: 0,80 = 80%" type="decimal" operator="between">
      <formula1>0.5</formula1>
      <formula2>0.89</formula2>
    </dataValidation>
    <dataValidation sqref="B10" showDropDown="0" showInputMessage="1" showErrorMessage="1" allowBlank="0" errorTitle="Valor invalido" error="Digite um decimal entre 0,50 e 0.99 (ex: 0,80 para 80%)" promptTitle="Limite da Curva ABC" prompt="Formato decimal. Ex: 0,80 = 80%" type="decimal" operator="between">
      <formula1>0.5</formula1>
      <formula2>0.99</formula2>
    </dataValidation>
    <dataValidation sqref="B9:B10" showDropDown="0" showInputMessage="1" showErrorMessage="1" allowBlank="0" errorTitle="Limite invalido" error="Digite um percentual entre 0 e 1 (ex.: 0,8 para 80%)." promptTitle="Limite ABC" prompt="Percentual entre 0 e 1 (0,8 = 80%).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8A400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1.2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1.2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1.2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1.2" customWidth="1" min="32" max="32"/>
    <col width="4.8" customWidth="1" min="33" max="33"/>
  </cols>
  <sheetData>
    <row r="1" ht="8" customHeight="1">
      <c r="A1" s="4" t="n"/>
      <c r="B1" s="3" t="n"/>
      <c r="C1" s="5" t="n"/>
      <c r="D1" s="6" t="n"/>
      <c r="E1" s="4" t="n"/>
      <c r="F1" s="3" t="n"/>
      <c r="G1" s="5" t="n"/>
      <c r="H1" s="6" t="n"/>
      <c r="I1" s="4" t="n"/>
      <c r="J1" s="3" t="n"/>
      <c r="K1" s="5" t="n"/>
      <c r="L1" s="6" t="n"/>
      <c r="M1" s="4" t="n"/>
      <c r="N1" s="3" t="n"/>
      <c r="O1" s="5" t="n"/>
      <c r="P1" s="6" t="n"/>
      <c r="Q1" s="4" t="n"/>
      <c r="R1" s="3" t="n"/>
      <c r="S1" s="5" t="n"/>
      <c r="T1" s="6" t="n"/>
      <c r="U1" s="4" t="n"/>
      <c r="V1" s="3" t="n"/>
      <c r="W1" s="5" t="n"/>
      <c r="X1" s="6" t="n"/>
      <c r="Y1" s="4" t="n"/>
      <c r="Z1" s="3" t="n"/>
      <c r="AA1" s="5" t="n"/>
      <c r="AB1" s="6" t="n"/>
      <c r="AC1" s="4" t="n"/>
      <c r="AD1" s="3" t="n"/>
      <c r="AE1" s="5" t="n"/>
      <c r="AF1" s="6" t="n"/>
      <c r="AG1" s="4" t="n"/>
    </row>
    <row r="2" ht="52" customHeight="1">
      <c r="A2" s="60" t="inlineStr">
        <is>
          <t>CALENDARIO 2026  —  One Love, One Excel!  |  Curva ABC Reggae</t>
        </is>
      </c>
      <c r="AG2" s="61" t="n"/>
    </row>
    <row r="3" ht="8" customHeight="1">
      <c r="A3" s="5" t="n"/>
      <c r="B3" s="3" t="n"/>
      <c r="C3" s="4" t="n"/>
      <c r="D3" s="6" t="n"/>
      <c r="E3" s="5" t="n"/>
      <c r="F3" s="3" t="n"/>
      <c r="G3" s="4" t="n"/>
      <c r="H3" s="6" t="n"/>
      <c r="I3" s="5" t="n"/>
      <c r="J3" s="3" t="n"/>
      <c r="K3" s="4" t="n"/>
      <c r="L3" s="6" t="n"/>
      <c r="M3" s="5" t="n"/>
      <c r="N3" s="3" t="n"/>
      <c r="O3" s="4" t="n"/>
      <c r="P3" s="6" t="n"/>
      <c r="Q3" s="5" t="n"/>
      <c r="R3" s="3" t="n"/>
      <c r="S3" s="4" t="n"/>
      <c r="T3" s="6" t="n"/>
      <c r="U3" s="5" t="n"/>
      <c r="V3" s="3" t="n"/>
      <c r="W3" s="4" t="n"/>
      <c r="X3" s="6" t="n"/>
      <c r="Y3" s="5" t="n"/>
      <c r="Z3" s="3" t="n"/>
      <c r="AA3" s="4" t="n"/>
      <c r="AB3" s="6" t="n"/>
      <c r="AC3" s="5" t="n"/>
      <c r="AD3" s="3" t="n"/>
      <c r="AE3" s="4" t="n"/>
      <c r="AF3" s="6" t="n"/>
      <c r="AG3" s="5" t="n"/>
    </row>
    <row r="4" ht="18" customHeight="1">
      <c r="A4" s="62" t="inlineStr">
        <is>
          <t xml:space="preserve">  Classe A = revisar diariamente   |   Classe B = revisar semanalmente   |   Classe C = revisar mensalmente   |   Dias marcados = sugestao de inventario rotativo</t>
        </is>
      </c>
      <c r="AG4" s="61" t="n"/>
    </row>
    <row r="5" ht="8" customHeight="1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</row>
    <row r="6" ht="22" customHeight="1">
      <c r="A6" s="63" t="inlineStr">
        <is>
          <t>JANEIRO 2026</t>
        </is>
      </c>
      <c r="B6" s="103" t="n"/>
      <c r="C6" s="103" t="n"/>
      <c r="D6" s="103" t="n"/>
      <c r="E6" s="103" t="n"/>
      <c r="F6" s="103" t="n"/>
      <c r="G6" s="103" t="n"/>
      <c r="H6" s="61" t="n"/>
      <c r="I6" s="63" t="inlineStr">
        <is>
          <t>FEVEREIRO 2026</t>
        </is>
      </c>
      <c r="J6" s="103" t="n"/>
      <c r="K6" s="103" t="n"/>
      <c r="L6" s="103" t="n"/>
      <c r="M6" s="103" t="n"/>
      <c r="N6" s="103" t="n"/>
      <c r="O6" s="103" t="n"/>
      <c r="P6" s="61" t="n"/>
      <c r="Q6" s="63" t="inlineStr">
        <is>
          <t>MARCO 2026</t>
        </is>
      </c>
      <c r="R6" s="103" t="n"/>
      <c r="S6" s="103" t="n"/>
      <c r="T6" s="103" t="n"/>
      <c r="U6" s="103" t="n"/>
      <c r="V6" s="103" t="n"/>
      <c r="W6" s="103" t="n"/>
      <c r="X6" s="61" t="n"/>
      <c r="Y6" s="64" t="inlineStr">
        <is>
          <t>ABRIL 2026</t>
        </is>
      </c>
      <c r="Z6" s="103" t="n"/>
      <c r="AA6" s="103" t="n"/>
      <c r="AB6" s="103" t="n"/>
      <c r="AC6" s="103" t="n"/>
      <c r="AD6" s="103" t="n"/>
      <c r="AE6" s="103" t="n"/>
      <c r="AF6" s="61" t="n"/>
      <c r="AG6" s="61" t="n"/>
    </row>
    <row r="7" ht="16" customHeight="1">
      <c r="A7" s="65" t="inlineStr">
        <is>
          <t>Seg</t>
        </is>
      </c>
      <c r="B7" s="65" t="inlineStr">
        <is>
          <t>Ter</t>
        </is>
      </c>
      <c r="C7" s="65" t="inlineStr">
        <is>
          <t>Qua</t>
        </is>
      </c>
      <c r="D7" s="65" t="inlineStr">
        <is>
          <t>Qui</t>
        </is>
      </c>
      <c r="E7" s="65" t="inlineStr">
        <is>
          <t>Sex</t>
        </is>
      </c>
      <c r="F7" s="66" t="inlineStr">
        <is>
          <t>Sab</t>
        </is>
      </c>
      <c r="G7" s="66" t="inlineStr">
        <is>
          <t>Dom</t>
        </is>
      </c>
      <c r="H7" s="61" t="n"/>
      <c r="I7" s="65" t="inlineStr">
        <is>
          <t>Seg</t>
        </is>
      </c>
      <c r="J7" s="65" t="inlineStr">
        <is>
          <t>Ter</t>
        </is>
      </c>
      <c r="K7" s="65" t="inlineStr">
        <is>
          <t>Qua</t>
        </is>
      </c>
      <c r="L7" s="65" t="inlineStr">
        <is>
          <t>Qui</t>
        </is>
      </c>
      <c r="M7" s="65" t="inlineStr">
        <is>
          <t>Sex</t>
        </is>
      </c>
      <c r="N7" s="66" t="inlineStr">
        <is>
          <t>Sab</t>
        </is>
      </c>
      <c r="O7" s="66" t="inlineStr">
        <is>
          <t>Dom</t>
        </is>
      </c>
      <c r="P7" s="61" t="n"/>
      <c r="Q7" s="65" t="inlineStr">
        <is>
          <t>Seg</t>
        </is>
      </c>
      <c r="R7" s="65" t="inlineStr">
        <is>
          <t>Ter</t>
        </is>
      </c>
      <c r="S7" s="65" t="inlineStr">
        <is>
          <t>Qua</t>
        </is>
      </c>
      <c r="T7" s="65" t="inlineStr">
        <is>
          <t>Qui</t>
        </is>
      </c>
      <c r="U7" s="65" t="inlineStr">
        <is>
          <t>Sex</t>
        </is>
      </c>
      <c r="V7" s="66" t="inlineStr">
        <is>
          <t>Sab</t>
        </is>
      </c>
      <c r="W7" s="66" t="inlineStr">
        <is>
          <t>Dom</t>
        </is>
      </c>
      <c r="X7" s="61" t="n"/>
      <c r="Y7" s="65" t="inlineStr">
        <is>
          <t>Seg</t>
        </is>
      </c>
      <c r="Z7" s="65" t="inlineStr">
        <is>
          <t>Ter</t>
        </is>
      </c>
      <c r="AA7" s="65" t="inlineStr">
        <is>
          <t>Qua</t>
        </is>
      </c>
      <c r="AB7" s="65" t="inlineStr">
        <is>
          <t>Qui</t>
        </is>
      </c>
      <c r="AC7" s="65" t="inlineStr">
        <is>
          <t>Sex</t>
        </is>
      </c>
      <c r="AD7" s="66" t="inlineStr">
        <is>
          <t>Sab</t>
        </is>
      </c>
      <c r="AE7" s="66" t="inlineStr">
        <is>
          <t>Dom</t>
        </is>
      </c>
      <c r="AF7" s="61" t="n"/>
      <c r="AG7" s="61" t="n"/>
    </row>
    <row r="8" ht="15" customHeight="1">
      <c r="A8" s="67" t="inlineStr"/>
      <c r="B8" s="67" t="inlineStr"/>
      <c r="C8" s="67" t="inlineStr"/>
      <c r="D8" s="68" t="n">
        <v>1</v>
      </c>
      <c r="E8" s="69" t="n">
        <v>2</v>
      </c>
      <c r="F8" s="70" t="n">
        <v>3</v>
      </c>
      <c r="G8" s="70" t="n">
        <v>4</v>
      </c>
      <c r="H8" s="61" t="n"/>
      <c r="I8" s="67" t="inlineStr"/>
      <c r="J8" s="67" t="inlineStr"/>
      <c r="K8" s="67" t="inlineStr"/>
      <c r="L8" s="67" t="inlineStr"/>
      <c r="M8" s="67" t="inlineStr"/>
      <c r="N8" s="67" t="inlineStr"/>
      <c r="O8" s="71" t="n">
        <v>1</v>
      </c>
      <c r="P8" s="61" t="n"/>
      <c r="Q8" s="67" t="inlineStr"/>
      <c r="R8" s="67" t="inlineStr"/>
      <c r="S8" s="67" t="inlineStr"/>
      <c r="T8" s="67" t="inlineStr"/>
      <c r="U8" s="67" t="inlineStr"/>
      <c r="V8" s="67" t="inlineStr"/>
      <c r="W8" s="71" t="n">
        <v>1</v>
      </c>
      <c r="X8" s="61" t="n"/>
      <c r="Y8" s="67" t="inlineStr"/>
      <c r="Z8" s="67" t="inlineStr"/>
      <c r="AA8" s="68" t="n">
        <v>1</v>
      </c>
      <c r="AB8" s="69" t="n">
        <v>2</v>
      </c>
      <c r="AC8" s="69" t="n">
        <v>3</v>
      </c>
      <c r="AD8" s="70" t="n">
        <v>4</v>
      </c>
      <c r="AE8" s="70" t="n">
        <v>5</v>
      </c>
      <c r="AF8" s="61" t="n"/>
      <c r="AG8" s="61" t="n"/>
    </row>
    <row r="9" ht="15" customHeight="1">
      <c r="A9" s="69" t="n">
        <v>5</v>
      </c>
      <c r="B9" s="69" t="n">
        <v>6</v>
      </c>
      <c r="C9" s="69" t="n">
        <v>7</v>
      </c>
      <c r="D9" s="68" t="n">
        <v>8</v>
      </c>
      <c r="E9" s="69" t="n">
        <v>9</v>
      </c>
      <c r="F9" s="70" t="n">
        <v>10</v>
      </c>
      <c r="G9" s="70" t="n">
        <v>11</v>
      </c>
      <c r="H9" s="61" t="n"/>
      <c r="I9" s="69" t="n">
        <v>2</v>
      </c>
      <c r="J9" s="69" t="n">
        <v>3</v>
      </c>
      <c r="K9" s="69" t="n">
        <v>4</v>
      </c>
      <c r="L9" s="69" t="n">
        <v>5</v>
      </c>
      <c r="M9" s="69" t="n">
        <v>6</v>
      </c>
      <c r="N9" s="70" t="n">
        <v>7</v>
      </c>
      <c r="O9" s="71" t="n">
        <v>8</v>
      </c>
      <c r="P9" s="61" t="n"/>
      <c r="Q9" s="69" t="n">
        <v>2</v>
      </c>
      <c r="R9" s="69" t="n">
        <v>3</v>
      </c>
      <c r="S9" s="69" t="n">
        <v>4</v>
      </c>
      <c r="T9" s="69" t="n">
        <v>5</v>
      </c>
      <c r="U9" s="69" t="n">
        <v>6</v>
      </c>
      <c r="V9" s="70" t="n">
        <v>7</v>
      </c>
      <c r="W9" s="71" t="n">
        <v>8</v>
      </c>
      <c r="X9" s="61" t="n"/>
      <c r="Y9" s="69" t="n">
        <v>6</v>
      </c>
      <c r="Z9" s="69" t="n">
        <v>7</v>
      </c>
      <c r="AA9" s="68" t="n">
        <v>8</v>
      </c>
      <c r="AB9" s="69" t="n">
        <v>9</v>
      </c>
      <c r="AC9" s="69" t="n">
        <v>10</v>
      </c>
      <c r="AD9" s="70" t="n">
        <v>11</v>
      </c>
      <c r="AE9" s="70" t="n">
        <v>12</v>
      </c>
      <c r="AF9" s="61" t="n"/>
      <c r="AG9" s="61" t="n"/>
    </row>
    <row r="10" ht="15" customHeight="1">
      <c r="A10" s="69" t="n">
        <v>12</v>
      </c>
      <c r="B10" s="69" t="n">
        <v>13</v>
      </c>
      <c r="C10" s="69" t="n">
        <v>14</v>
      </c>
      <c r="D10" s="68" t="n">
        <v>15</v>
      </c>
      <c r="E10" s="69" t="n">
        <v>16</v>
      </c>
      <c r="F10" s="70" t="n">
        <v>17</v>
      </c>
      <c r="G10" s="70" t="n">
        <v>18</v>
      </c>
      <c r="H10" s="61" t="n"/>
      <c r="I10" s="69" t="n">
        <v>9</v>
      </c>
      <c r="J10" s="69" t="n">
        <v>10</v>
      </c>
      <c r="K10" s="69" t="n">
        <v>11</v>
      </c>
      <c r="L10" s="69" t="n">
        <v>12</v>
      </c>
      <c r="M10" s="69" t="n">
        <v>13</v>
      </c>
      <c r="N10" s="70" t="n">
        <v>14</v>
      </c>
      <c r="O10" s="71" t="n">
        <v>15</v>
      </c>
      <c r="P10" s="61" t="n"/>
      <c r="Q10" s="69" t="n">
        <v>9</v>
      </c>
      <c r="R10" s="69" t="n">
        <v>10</v>
      </c>
      <c r="S10" s="69" t="n">
        <v>11</v>
      </c>
      <c r="T10" s="69" t="n">
        <v>12</v>
      </c>
      <c r="U10" s="69" t="n">
        <v>13</v>
      </c>
      <c r="V10" s="70" t="n">
        <v>14</v>
      </c>
      <c r="W10" s="71" t="n">
        <v>15</v>
      </c>
      <c r="X10" s="61" t="n"/>
      <c r="Y10" s="69" t="n">
        <v>13</v>
      </c>
      <c r="Z10" s="69" t="n">
        <v>14</v>
      </c>
      <c r="AA10" s="68" t="n">
        <v>15</v>
      </c>
      <c r="AB10" s="69" t="n">
        <v>16</v>
      </c>
      <c r="AC10" s="69" t="n">
        <v>17</v>
      </c>
      <c r="AD10" s="70" t="n">
        <v>18</v>
      </c>
      <c r="AE10" s="70" t="n">
        <v>19</v>
      </c>
      <c r="AF10" s="61" t="n"/>
      <c r="AG10" s="61" t="n"/>
    </row>
    <row r="11" ht="15" customHeight="1">
      <c r="A11" s="69" t="n">
        <v>19</v>
      </c>
      <c r="B11" s="69" t="n">
        <v>20</v>
      </c>
      <c r="C11" s="69" t="n">
        <v>21</v>
      </c>
      <c r="D11" s="68" t="n">
        <v>22</v>
      </c>
      <c r="E11" s="69" t="n">
        <v>23</v>
      </c>
      <c r="F11" s="70" t="n">
        <v>24</v>
      </c>
      <c r="G11" s="70" t="n">
        <v>25</v>
      </c>
      <c r="H11" s="61" t="n"/>
      <c r="I11" s="69" t="n">
        <v>16</v>
      </c>
      <c r="J11" s="69" t="n">
        <v>17</v>
      </c>
      <c r="K11" s="69" t="n">
        <v>18</v>
      </c>
      <c r="L11" s="69" t="n">
        <v>19</v>
      </c>
      <c r="M11" s="69" t="n">
        <v>20</v>
      </c>
      <c r="N11" s="70" t="n">
        <v>21</v>
      </c>
      <c r="O11" s="71" t="n">
        <v>22</v>
      </c>
      <c r="P11" s="61" t="n"/>
      <c r="Q11" s="69" t="n">
        <v>16</v>
      </c>
      <c r="R11" s="69" t="n">
        <v>17</v>
      </c>
      <c r="S11" s="69" t="n">
        <v>18</v>
      </c>
      <c r="T11" s="69" t="n">
        <v>19</v>
      </c>
      <c r="U11" s="69" t="n">
        <v>20</v>
      </c>
      <c r="V11" s="70" t="n">
        <v>21</v>
      </c>
      <c r="W11" s="71" t="n">
        <v>22</v>
      </c>
      <c r="X11" s="61" t="n"/>
      <c r="Y11" s="69" t="n">
        <v>20</v>
      </c>
      <c r="Z11" s="69" t="n">
        <v>21</v>
      </c>
      <c r="AA11" s="68" t="n">
        <v>22</v>
      </c>
      <c r="AB11" s="69" t="n">
        <v>23</v>
      </c>
      <c r="AC11" s="69" t="n">
        <v>24</v>
      </c>
      <c r="AD11" s="70" t="n">
        <v>25</v>
      </c>
      <c r="AE11" s="70" t="n">
        <v>26</v>
      </c>
      <c r="AF11" s="61" t="n"/>
      <c r="AG11" s="61" t="n"/>
    </row>
    <row r="12" ht="15" customHeight="1">
      <c r="A12" s="69" t="n">
        <v>26</v>
      </c>
      <c r="B12" s="69" t="n">
        <v>27</v>
      </c>
      <c r="C12" s="69" t="n">
        <v>28</v>
      </c>
      <c r="D12" s="69" t="n">
        <v>29</v>
      </c>
      <c r="E12" s="69" t="n">
        <v>30</v>
      </c>
      <c r="F12" s="70" t="n">
        <v>31</v>
      </c>
      <c r="G12" s="67" t="inlineStr"/>
      <c r="H12" s="61" t="n"/>
      <c r="I12" s="69" t="n">
        <v>23</v>
      </c>
      <c r="J12" s="69" t="n">
        <v>24</v>
      </c>
      <c r="K12" s="69" t="n">
        <v>25</v>
      </c>
      <c r="L12" s="69" t="n">
        <v>26</v>
      </c>
      <c r="M12" s="69" t="n">
        <v>27</v>
      </c>
      <c r="N12" s="70" t="n">
        <v>28</v>
      </c>
      <c r="O12" s="67" t="inlineStr"/>
      <c r="P12" s="61" t="n"/>
      <c r="Q12" s="69" t="n">
        <v>23</v>
      </c>
      <c r="R12" s="69" t="n">
        <v>24</v>
      </c>
      <c r="S12" s="69" t="n">
        <v>25</v>
      </c>
      <c r="T12" s="69" t="n">
        <v>26</v>
      </c>
      <c r="U12" s="69" t="n">
        <v>27</v>
      </c>
      <c r="V12" s="70" t="n">
        <v>28</v>
      </c>
      <c r="W12" s="70" t="n">
        <v>29</v>
      </c>
      <c r="X12" s="61" t="n"/>
      <c r="Y12" s="69" t="n">
        <v>27</v>
      </c>
      <c r="Z12" s="69" t="n">
        <v>28</v>
      </c>
      <c r="AA12" s="69" t="n">
        <v>29</v>
      </c>
      <c r="AB12" s="69" t="n">
        <v>30</v>
      </c>
      <c r="AC12" s="67" t="inlineStr"/>
      <c r="AD12" s="67" t="inlineStr"/>
      <c r="AE12" s="67" t="inlineStr"/>
      <c r="AF12" s="61" t="n"/>
      <c r="AG12" s="61" t="n"/>
    </row>
    <row r="13" ht="15" customHeight="1">
      <c r="A13" s="67" t="n"/>
      <c r="B13" s="67" t="n"/>
      <c r="C13" s="67" t="n"/>
      <c r="D13" s="67" t="n"/>
      <c r="E13" s="67" t="n"/>
      <c r="F13" s="67" t="n"/>
      <c r="G13" s="67" t="n"/>
      <c r="H13" s="61" t="n"/>
      <c r="I13" s="67" t="n"/>
      <c r="J13" s="67" t="n"/>
      <c r="K13" s="67" t="n"/>
      <c r="L13" s="67" t="n"/>
      <c r="M13" s="67" t="n"/>
      <c r="N13" s="67" t="n"/>
      <c r="O13" s="67" t="n"/>
      <c r="P13" s="61" t="n"/>
      <c r="Q13" s="69" t="n">
        <v>30</v>
      </c>
      <c r="R13" s="69" t="n">
        <v>31</v>
      </c>
      <c r="S13" s="67" t="inlineStr"/>
      <c r="T13" s="67" t="inlineStr"/>
      <c r="U13" s="67" t="inlineStr"/>
      <c r="V13" s="67" t="inlineStr"/>
      <c r="W13" s="67" t="inlineStr"/>
      <c r="X13" s="61" t="n"/>
      <c r="Y13" s="67" t="n"/>
      <c r="Z13" s="67" t="n"/>
      <c r="AA13" s="67" t="n"/>
      <c r="AB13" s="67" t="n"/>
      <c r="AC13" s="67" t="n"/>
      <c r="AD13" s="67" t="n"/>
      <c r="AE13" s="67" t="n"/>
      <c r="AF13" s="61" t="n"/>
      <c r="AG13" s="61" t="n"/>
    </row>
    <row r="14" ht="16" customHeight="1">
      <c r="A14" s="61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</row>
    <row r="15" ht="16" customHeight="1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  <c r="AC15" s="61" t="n"/>
      <c r="AD15" s="61" t="n"/>
      <c r="AE15" s="61" t="n"/>
      <c r="AF15" s="61" t="n"/>
      <c r="AG15" s="61" t="n"/>
    </row>
    <row r="16" ht="16" customHeight="1">
      <c r="A16" s="61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</row>
    <row r="17" ht="22" customHeight="1">
      <c r="A17" s="64" t="inlineStr">
        <is>
          <t>MAIO 2026</t>
        </is>
      </c>
      <c r="B17" s="103" t="n"/>
      <c r="C17" s="103" t="n"/>
      <c r="D17" s="103" t="n"/>
      <c r="E17" s="103" t="n"/>
      <c r="F17" s="103" t="n"/>
      <c r="G17" s="103" t="n"/>
      <c r="H17" s="61" t="n"/>
      <c r="I17" s="64" t="inlineStr">
        <is>
          <t>JUNHO 2026</t>
        </is>
      </c>
      <c r="J17" s="103" t="n"/>
      <c r="K17" s="103" t="n"/>
      <c r="L17" s="103" t="n"/>
      <c r="M17" s="103" t="n"/>
      <c r="N17" s="103" t="n"/>
      <c r="O17" s="103" t="n"/>
      <c r="P17" s="61" t="n"/>
      <c r="Q17" s="72" t="inlineStr">
        <is>
          <t>JULHO 2026</t>
        </is>
      </c>
      <c r="R17" s="103" t="n"/>
      <c r="S17" s="103" t="n"/>
      <c r="T17" s="103" t="n"/>
      <c r="U17" s="103" t="n"/>
      <c r="V17" s="103" t="n"/>
      <c r="W17" s="103" t="n"/>
      <c r="X17" s="61" t="n"/>
      <c r="Y17" s="72" t="inlineStr">
        <is>
          <t>AGOSTO 2026</t>
        </is>
      </c>
      <c r="Z17" s="103" t="n"/>
      <c r="AA17" s="103" t="n"/>
      <c r="AB17" s="103" t="n"/>
      <c r="AC17" s="103" t="n"/>
      <c r="AD17" s="103" t="n"/>
      <c r="AE17" s="103" t="n"/>
      <c r="AF17" s="61" t="n"/>
      <c r="AG17" s="61" t="n"/>
    </row>
    <row r="18" ht="16" customHeight="1">
      <c r="A18" s="65" t="inlineStr">
        <is>
          <t>Seg</t>
        </is>
      </c>
      <c r="B18" s="65" t="inlineStr">
        <is>
          <t>Ter</t>
        </is>
      </c>
      <c r="C18" s="65" t="inlineStr">
        <is>
          <t>Qua</t>
        </is>
      </c>
      <c r="D18" s="65" t="inlineStr">
        <is>
          <t>Qui</t>
        </is>
      </c>
      <c r="E18" s="65" t="inlineStr">
        <is>
          <t>Sex</t>
        </is>
      </c>
      <c r="F18" s="66" t="inlineStr">
        <is>
          <t>Sab</t>
        </is>
      </c>
      <c r="G18" s="66" t="inlineStr">
        <is>
          <t>Dom</t>
        </is>
      </c>
      <c r="H18" s="61" t="n"/>
      <c r="I18" s="65" t="inlineStr">
        <is>
          <t>Seg</t>
        </is>
      </c>
      <c r="J18" s="65" t="inlineStr">
        <is>
          <t>Ter</t>
        </is>
      </c>
      <c r="K18" s="65" t="inlineStr">
        <is>
          <t>Qua</t>
        </is>
      </c>
      <c r="L18" s="65" t="inlineStr">
        <is>
          <t>Qui</t>
        </is>
      </c>
      <c r="M18" s="65" t="inlineStr">
        <is>
          <t>Sex</t>
        </is>
      </c>
      <c r="N18" s="66" t="inlineStr">
        <is>
          <t>Sab</t>
        </is>
      </c>
      <c r="O18" s="66" t="inlineStr">
        <is>
          <t>Dom</t>
        </is>
      </c>
      <c r="P18" s="61" t="n"/>
      <c r="Q18" s="65" t="inlineStr">
        <is>
          <t>Seg</t>
        </is>
      </c>
      <c r="R18" s="65" t="inlineStr">
        <is>
          <t>Ter</t>
        </is>
      </c>
      <c r="S18" s="65" t="inlineStr">
        <is>
          <t>Qua</t>
        </is>
      </c>
      <c r="T18" s="65" t="inlineStr">
        <is>
          <t>Qui</t>
        </is>
      </c>
      <c r="U18" s="65" t="inlineStr">
        <is>
          <t>Sex</t>
        </is>
      </c>
      <c r="V18" s="66" t="inlineStr">
        <is>
          <t>Sab</t>
        </is>
      </c>
      <c r="W18" s="66" t="inlineStr">
        <is>
          <t>Dom</t>
        </is>
      </c>
      <c r="X18" s="61" t="n"/>
      <c r="Y18" s="65" t="inlineStr">
        <is>
          <t>Seg</t>
        </is>
      </c>
      <c r="Z18" s="65" t="inlineStr">
        <is>
          <t>Ter</t>
        </is>
      </c>
      <c r="AA18" s="65" t="inlineStr">
        <is>
          <t>Qua</t>
        </is>
      </c>
      <c r="AB18" s="65" t="inlineStr">
        <is>
          <t>Qui</t>
        </is>
      </c>
      <c r="AC18" s="65" t="inlineStr">
        <is>
          <t>Sex</t>
        </is>
      </c>
      <c r="AD18" s="66" t="inlineStr">
        <is>
          <t>Sab</t>
        </is>
      </c>
      <c r="AE18" s="66" t="inlineStr">
        <is>
          <t>Dom</t>
        </is>
      </c>
      <c r="AF18" s="61" t="n"/>
      <c r="AG18" s="61" t="n"/>
    </row>
    <row r="19" ht="15" customHeight="1">
      <c r="A19" s="67" t="inlineStr"/>
      <c r="B19" s="67" t="inlineStr"/>
      <c r="C19" s="67" t="inlineStr"/>
      <c r="D19" s="67" t="inlineStr"/>
      <c r="E19" s="68" t="n">
        <v>1</v>
      </c>
      <c r="F19" s="70" t="n">
        <v>2</v>
      </c>
      <c r="G19" s="70" t="n">
        <v>3</v>
      </c>
      <c r="H19" s="61" t="n"/>
      <c r="I19" s="68" t="n">
        <v>1</v>
      </c>
      <c r="J19" s="69" t="n">
        <v>2</v>
      </c>
      <c r="K19" s="69" t="n">
        <v>3</v>
      </c>
      <c r="L19" s="69" t="n">
        <v>4</v>
      </c>
      <c r="M19" s="69" t="n">
        <v>5</v>
      </c>
      <c r="N19" s="70" t="n">
        <v>6</v>
      </c>
      <c r="O19" s="70" t="n">
        <v>7</v>
      </c>
      <c r="P19" s="61" t="n"/>
      <c r="Q19" s="67" t="inlineStr"/>
      <c r="R19" s="67" t="inlineStr"/>
      <c r="S19" s="68" t="n">
        <v>1</v>
      </c>
      <c r="T19" s="69" t="n">
        <v>2</v>
      </c>
      <c r="U19" s="69" t="n">
        <v>3</v>
      </c>
      <c r="V19" s="70" t="n">
        <v>4</v>
      </c>
      <c r="W19" s="70" t="n">
        <v>5</v>
      </c>
      <c r="X19" s="61" t="n"/>
      <c r="Y19" s="67" t="inlineStr"/>
      <c r="Z19" s="67" t="inlineStr"/>
      <c r="AA19" s="67" t="inlineStr"/>
      <c r="AB19" s="67" t="inlineStr"/>
      <c r="AC19" s="67" t="inlineStr"/>
      <c r="AD19" s="71" t="n">
        <v>1</v>
      </c>
      <c r="AE19" s="70" t="n">
        <v>2</v>
      </c>
      <c r="AF19" s="61" t="n"/>
      <c r="AG19" s="61" t="n"/>
    </row>
    <row r="20" ht="15" customHeight="1">
      <c r="A20" s="69" t="n">
        <v>4</v>
      </c>
      <c r="B20" s="69" t="n">
        <v>5</v>
      </c>
      <c r="C20" s="69" t="n">
        <v>6</v>
      </c>
      <c r="D20" s="69" t="n">
        <v>7</v>
      </c>
      <c r="E20" s="68" t="n">
        <v>8</v>
      </c>
      <c r="F20" s="70" t="n">
        <v>9</v>
      </c>
      <c r="G20" s="70" t="n">
        <v>10</v>
      </c>
      <c r="H20" s="61" t="n"/>
      <c r="I20" s="68" t="n">
        <v>8</v>
      </c>
      <c r="J20" s="69" t="n">
        <v>9</v>
      </c>
      <c r="K20" s="69" t="n">
        <v>10</v>
      </c>
      <c r="L20" s="69" t="n">
        <v>11</v>
      </c>
      <c r="M20" s="69" t="n">
        <v>12</v>
      </c>
      <c r="N20" s="70" t="n">
        <v>13</v>
      </c>
      <c r="O20" s="70" t="n">
        <v>14</v>
      </c>
      <c r="P20" s="61" t="n"/>
      <c r="Q20" s="69" t="n">
        <v>6</v>
      </c>
      <c r="R20" s="69" t="n">
        <v>7</v>
      </c>
      <c r="S20" s="68" t="n">
        <v>8</v>
      </c>
      <c r="T20" s="69" t="n">
        <v>9</v>
      </c>
      <c r="U20" s="69" t="n">
        <v>10</v>
      </c>
      <c r="V20" s="70" t="n">
        <v>11</v>
      </c>
      <c r="W20" s="70" t="n">
        <v>12</v>
      </c>
      <c r="X20" s="61" t="n"/>
      <c r="Y20" s="69" t="n">
        <v>3</v>
      </c>
      <c r="Z20" s="69" t="n">
        <v>4</v>
      </c>
      <c r="AA20" s="69" t="n">
        <v>5</v>
      </c>
      <c r="AB20" s="69" t="n">
        <v>6</v>
      </c>
      <c r="AC20" s="69" t="n">
        <v>7</v>
      </c>
      <c r="AD20" s="71" t="n">
        <v>8</v>
      </c>
      <c r="AE20" s="70" t="n">
        <v>9</v>
      </c>
      <c r="AF20" s="61" t="n"/>
      <c r="AG20" s="61" t="n"/>
    </row>
    <row r="21" ht="15" customHeight="1">
      <c r="A21" s="69" t="n">
        <v>11</v>
      </c>
      <c r="B21" s="69" t="n">
        <v>12</v>
      </c>
      <c r="C21" s="69" t="n">
        <v>13</v>
      </c>
      <c r="D21" s="69" t="n">
        <v>14</v>
      </c>
      <c r="E21" s="68" t="n">
        <v>15</v>
      </c>
      <c r="F21" s="70" t="n">
        <v>16</v>
      </c>
      <c r="G21" s="70" t="n">
        <v>17</v>
      </c>
      <c r="H21" s="61" t="n"/>
      <c r="I21" s="68" t="n">
        <v>15</v>
      </c>
      <c r="J21" s="69" t="n">
        <v>16</v>
      </c>
      <c r="K21" s="69" t="n">
        <v>17</v>
      </c>
      <c r="L21" s="69" t="n">
        <v>18</v>
      </c>
      <c r="M21" s="69" t="n">
        <v>19</v>
      </c>
      <c r="N21" s="70" t="n">
        <v>20</v>
      </c>
      <c r="O21" s="70" t="n">
        <v>21</v>
      </c>
      <c r="P21" s="61" t="n"/>
      <c r="Q21" s="69" t="n">
        <v>13</v>
      </c>
      <c r="R21" s="69" t="n">
        <v>14</v>
      </c>
      <c r="S21" s="68" t="n">
        <v>15</v>
      </c>
      <c r="T21" s="69" t="n">
        <v>16</v>
      </c>
      <c r="U21" s="69" t="n">
        <v>17</v>
      </c>
      <c r="V21" s="70" t="n">
        <v>18</v>
      </c>
      <c r="W21" s="70" t="n">
        <v>19</v>
      </c>
      <c r="X21" s="61" t="n"/>
      <c r="Y21" s="69" t="n">
        <v>10</v>
      </c>
      <c r="Z21" s="69" t="n">
        <v>11</v>
      </c>
      <c r="AA21" s="69" t="n">
        <v>12</v>
      </c>
      <c r="AB21" s="69" t="n">
        <v>13</v>
      </c>
      <c r="AC21" s="69" t="n">
        <v>14</v>
      </c>
      <c r="AD21" s="71" t="n">
        <v>15</v>
      </c>
      <c r="AE21" s="70" t="n">
        <v>16</v>
      </c>
      <c r="AF21" s="61" t="n"/>
      <c r="AG21" s="61" t="n"/>
    </row>
    <row r="22" ht="15" customHeight="1">
      <c r="A22" s="69" t="n">
        <v>18</v>
      </c>
      <c r="B22" s="69" t="n">
        <v>19</v>
      </c>
      <c r="C22" s="69" t="n">
        <v>20</v>
      </c>
      <c r="D22" s="69" t="n">
        <v>21</v>
      </c>
      <c r="E22" s="68" t="n">
        <v>22</v>
      </c>
      <c r="F22" s="70" t="n">
        <v>23</v>
      </c>
      <c r="G22" s="70" t="n">
        <v>24</v>
      </c>
      <c r="H22" s="61" t="n"/>
      <c r="I22" s="68" t="n">
        <v>22</v>
      </c>
      <c r="J22" s="69" t="n">
        <v>23</v>
      </c>
      <c r="K22" s="69" t="n">
        <v>24</v>
      </c>
      <c r="L22" s="69" t="n">
        <v>25</v>
      </c>
      <c r="M22" s="69" t="n">
        <v>26</v>
      </c>
      <c r="N22" s="70" t="n">
        <v>27</v>
      </c>
      <c r="O22" s="70" t="n">
        <v>28</v>
      </c>
      <c r="P22" s="61" t="n"/>
      <c r="Q22" s="69" t="n">
        <v>20</v>
      </c>
      <c r="R22" s="69" t="n">
        <v>21</v>
      </c>
      <c r="S22" s="68" t="n">
        <v>22</v>
      </c>
      <c r="T22" s="69" t="n">
        <v>23</v>
      </c>
      <c r="U22" s="69" t="n">
        <v>24</v>
      </c>
      <c r="V22" s="70" t="n">
        <v>25</v>
      </c>
      <c r="W22" s="70" t="n">
        <v>26</v>
      </c>
      <c r="X22" s="61" t="n"/>
      <c r="Y22" s="69" t="n">
        <v>17</v>
      </c>
      <c r="Z22" s="69" t="n">
        <v>18</v>
      </c>
      <c r="AA22" s="69" t="n">
        <v>19</v>
      </c>
      <c r="AB22" s="69" t="n">
        <v>20</v>
      </c>
      <c r="AC22" s="69" t="n">
        <v>21</v>
      </c>
      <c r="AD22" s="71" t="n">
        <v>22</v>
      </c>
      <c r="AE22" s="70" t="n">
        <v>23</v>
      </c>
      <c r="AF22" s="61" t="n"/>
      <c r="AG22" s="61" t="n"/>
    </row>
    <row r="23" ht="15" customHeight="1">
      <c r="A23" s="69" t="n">
        <v>25</v>
      </c>
      <c r="B23" s="69" t="n">
        <v>26</v>
      </c>
      <c r="C23" s="69" t="n">
        <v>27</v>
      </c>
      <c r="D23" s="69" t="n">
        <v>28</v>
      </c>
      <c r="E23" s="69" t="n">
        <v>29</v>
      </c>
      <c r="F23" s="70" t="n">
        <v>30</v>
      </c>
      <c r="G23" s="70" t="n">
        <v>31</v>
      </c>
      <c r="H23" s="61" t="n"/>
      <c r="I23" s="69" t="n">
        <v>29</v>
      </c>
      <c r="J23" s="69" t="n">
        <v>30</v>
      </c>
      <c r="K23" s="67" t="inlineStr"/>
      <c r="L23" s="67" t="inlineStr"/>
      <c r="M23" s="67" t="inlineStr"/>
      <c r="N23" s="67" t="inlineStr"/>
      <c r="O23" s="67" t="inlineStr"/>
      <c r="P23" s="61" t="n"/>
      <c r="Q23" s="69" t="n">
        <v>27</v>
      </c>
      <c r="R23" s="69" t="n">
        <v>28</v>
      </c>
      <c r="S23" s="69" t="n">
        <v>29</v>
      </c>
      <c r="T23" s="69" t="n">
        <v>30</v>
      </c>
      <c r="U23" s="69" t="n">
        <v>31</v>
      </c>
      <c r="V23" s="67" t="inlineStr"/>
      <c r="W23" s="67" t="inlineStr"/>
      <c r="X23" s="61" t="n"/>
      <c r="Y23" s="69" t="n">
        <v>24</v>
      </c>
      <c r="Z23" s="69" t="n">
        <v>25</v>
      </c>
      <c r="AA23" s="69" t="n">
        <v>26</v>
      </c>
      <c r="AB23" s="69" t="n">
        <v>27</v>
      </c>
      <c r="AC23" s="69" t="n">
        <v>28</v>
      </c>
      <c r="AD23" s="70" t="n">
        <v>29</v>
      </c>
      <c r="AE23" s="70" t="n">
        <v>30</v>
      </c>
      <c r="AF23" s="61" t="n"/>
      <c r="AG23" s="61" t="n"/>
    </row>
    <row r="24" ht="15" customHeight="1">
      <c r="A24" s="67" t="n"/>
      <c r="B24" s="67" t="n"/>
      <c r="C24" s="67" t="n"/>
      <c r="D24" s="67" t="n"/>
      <c r="E24" s="67" t="n"/>
      <c r="F24" s="67" t="n"/>
      <c r="G24" s="67" t="n"/>
      <c r="H24" s="61" t="n"/>
      <c r="I24" s="67" t="n"/>
      <c r="J24" s="67" t="n"/>
      <c r="K24" s="67" t="n"/>
      <c r="L24" s="67" t="n"/>
      <c r="M24" s="67" t="n"/>
      <c r="N24" s="67" t="n"/>
      <c r="O24" s="67" t="n"/>
      <c r="P24" s="61" t="n"/>
      <c r="Q24" s="67" t="n"/>
      <c r="R24" s="67" t="n"/>
      <c r="S24" s="67" t="n"/>
      <c r="T24" s="67" t="n"/>
      <c r="U24" s="67" t="n"/>
      <c r="V24" s="67" t="n"/>
      <c r="W24" s="67" t="n"/>
      <c r="X24" s="61" t="n"/>
      <c r="Y24" s="69" t="n">
        <v>31</v>
      </c>
      <c r="Z24" s="67" t="inlineStr"/>
      <c r="AA24" s="67" t="inlineStr"/>
      <c r="AB24" s="67" t="inlineStr"/>
      <c r="AC24" s="67" t="inlineStr"/>
      <c r="AD24" s="67" t="inlineStr"/>
      <c r="AE24" s="67" t="inlineStr"/>
      <c r="AF24" s="61" t="n"/>
      <c r="AG24" s="61" t="n"/>
    </row>
    <row r="25" ht="16" customHeight="1">
      <c r="A25" s="61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</row>
    <row r="26" ht="16" customHeight="1">
      <c r="A26" s="61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61" t="n"/>
      <c r="AG26" s="61" t="n"/>
    </row>
    <row r="27" ht="16" customHeight="1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61" t="n"/>
      <c r="AC27" s="61" t="n"/>
      <c r="AD27" s="61" t="n"/>
      <c r="AE27" s="61" t="n"/>
      <c r="AF27" s="61" t="n"/>
      <c r="AG27" s="61" t="n"/>
    </row>
    <row r="28" ht="22" customHeight="1">
      <c r="A28" s="72" t="inlineStr">
        <is>
          <t>SETEMBRO 2026</t>
        </is>
      </c>
      <c r="B28" s="103" t="n"/>
      <c r="C28" s="103" t="n"/>
      <c r="D28" s="103" t="n"/>
      <c r="E28" s="103" t="n"/>
      <c r="F28" s="103" t="n"/>
      <c r="G28" s="103" t="n"/>
      <c r="H28" s="61" t="n"/>
      <c r="I28" s="63" t="inlineStr">
        <is>
          <t>OUTUBRO 2026</t>
        </is>
      </c>
      <c r="J28" s="103" t="n"/>
      <c r="K28" s="103" t="n"/>
      <c r="L28" s="103" t="n"/>
      <c r="M28" s="103" t="n"/>
      <c r="N28" s="103" t="n"/>
      <c r="O28" s="103" t="n"/>
      <c r="P28" s="61" t="n"/>
      <c r="Q28" s="64" t="inlineStr">
        <is>
          <t>NOVEMBRO 2026</t>
        </is>
      </c>
      <c r="R28" s="103" t="n"/>
      <c r="S28" s="103" t="n"/>
      <c r="T28" s="103" t="n"/>
      <c r="U28" s="103" t="n"/>
      <c r="V28" s="103" t="n"/>
      <c r="W28" s="103" t="n"/>
      <c r="X28" s="61" t="n"/>
      <c r="Y28" s="72" t="inlineStr">
        <is>
          <t>DEZEMBRO 2026</t>
        </is>
      </c>
      <c r="Z28" s="103" t="n"/>
      <c r="AA28" s="103" t="n"/>
      <c r="AB28" s="103" t="n"/>
      <c r="AC28" s="103" t="n"/>
      <c r="AD28" s="103" t="n"/>
      <c r="AE28" s="103" t="n"/>
      <c r="AF28" s="61" t="n"/>
      <c r="AG28" s="61" t="n"/>
    </row>
    <row r="29" ht="16" customHeight="1">
      <c r="A29" s="65" t="inlineStr">
        <is>
          <t>Seg</t>
        </is>
      </c>
      <c r="B29" s="65" t="inlineStr">
        <is>
          <t>Ter</t>
        </is>
      </c>
      <c r="C29" s="65" t="inlineStr">
        <is>
          <t>Qua</t>
        </is>
      </c>
      <c r="D29" s="65" t="inlineStr">
        <is>
          <t>Qui</t>
        </is>
      </c>
      <c r="E29" s="65" t="inlineStr">
        <is>
          <t>Sex</t>
        </is>
      </c>
      <c r="F29" s="66" t="inlineStr">
        <is>
          <t>Sab</t>
        </is>
      </c>
      <c r="G29" s="66" t="inlineStr">
        <is>
          <t>Dom</t>
        </is>
      </c>
      <c r="H29" s="61" t="n"/>
      <c r="I29" s="65" t="inlineStr">
        <is>
          <t>Seg</t>
        </is>
      </c>
      <c r="J29" s="65" t="inlineStr">
        <is>
          <t>Ter</t>
        </is>
      </c>
      <c r="K29" s="65" t="inlineStr">
        <is>
          <t>Qua</t>
        </is>
      </c>
      <c r="L29" s="65" t="inlineStr">
        <is>
          <t>Qui</t>
        </is>
      </c>
      <c r="M29" s="65" t="inlineStr">
        <is>
          <t>Sex</t>
        </is>
      </c>
      <c r="N29" s="66" t="inlineStr">
        <is>
          <t>Sab</t>
        </is>
      </c>
      <c r="O29" s="66" t="inlineStr">
        <is>
          <t>Dom</t>
        </is>
      </c>
      <c r="P29" s="61" t="n"/>
      <c r="Q29" s="65" t="inlineStr">
        <is>
          <t>Seg</t>
        </is>
      </c>
      <c r="R29" s="65" t="inlineStr">
        <is>
          <t>Ter</t>
        </is>
      </c>
      <c r="S29" s="65" t="inlineStr">
        <is>
          <t>Qua</t>
        </is>
      </c>
      <c r="T29" s="65" t="inlineStr">
        <is>
          <t>Qui</t>
        </is>
      </c>
      <c r="U29" s="65" t="inlineStr">
        <is>
          <t>Sex</t>
        </is>
      </c>
      <c r="V29" s="66" t="inlineStr">
        <is>
          <t>Sab</t>
        </is>
      </c>
      <c r="W29" s="66" t="inlineStr">
        <is>
          <t>Dom</t>
        </is>
      </c>
      <c r="X29" s="61" t="n"/>
      <c r="Y29" s="65" t="inlineStr">
        <is>
          <t>Seg</t>
        </is>
      </c>
      <c r="Z29" s="65" t="inlineStr">
        <is>
          <t>Ter</t>
        </is>
      </c>
      <c r="AA29" s="65" t="inlineStr">
        <is>
          <t>Qua</t>
        </is>
      </c>
      <c r="AB29" s="65" t="inlineStr">
        <is>
          <t>Qui</t>
        </is>
      </c>
      <c r="AC29" s="65" t="inlineStr">
        <is>
          <t>Sex</t>
        </is>
      </c>
      <c r="AD29" s="66" t="inlineStr">
        <is>
          <t>Sab</t>
        </is>
      </c>
      <c r="AE29" s="66" t="inlineStr">
        <is>
          <t>Dom</t>
        </is>
      </c>
      <c r="AF29" s="61" t="n"/>
      <c r="AG29" s="61" t="n"/>
    </row>
    <row r="30" ht="15" customHeight="1">
      <c r="A30" s="67" t="inlineStr"/>
      <c r="B30" s="68" t="n">
        <v>1</v>
      </c>
      <c r="C30" s="69" t="n">
        <v>2</v>
      </c>
      <c r="D30" s="69" t="n">
        <v>3</v>
      </c>
      <c r="E30" s="69" t="n">
        <v>4</v>
      </c>
      <c r="F30" s="70" t="n">
        <v>5</v>
      </c>
      <c r="G30" s="70" t="n">
        <v>6</v>
      </c>
      <c r="H30" s="61" t="n"/>
      <c r="I30" s="67" t="inlineStr"/>
      <c r="J30" s="67" t="inlineStr"/>
      <c r="K30" s="67" t="inlineStr"/>
      <c r="L30" s="68" t="n">
        <v>1</v>
      </c>
      <c r="M30" s="69" t="n">
        <v>2</v>
      </c>
      <c r="N30" s="70" t="n">
        <v>3</v>
      </c>
      <c r="O30" s="70" t="n">
        <v>4</v>
      </c>
      <c r="P30" s="61" t="n"/>
      <c r="Q30" s="67" t="inlineStr"/>
      <c r="R30" s="67" t="inlineStr"/>
      <c r="S30" s="67" t="inlineStr"/>
      <c r="T30" s="67" t="inlineStr"/>
      <c r="U30" s="67" t="inlineStr"/>
      <c r="V30" s="67" t="inlineStr"/>
      <c r="W30" s="71" t="n">
        <v>1</v>
      </c>
      <c r="X30" s="61" t="n"/>
      <c r="Y30" s="67" t="inlineStr"/>
      <c r="Z30" s="68" t="n">
        <v>1</v>
      </c>
      <c r="AA30" s="69" t="n">
        <v>2</v>
      </c>
      <c r="AB30" s="69" t="n">
        <v>3</v>
      </c>
      <c r="AC30" s="69" t="n">
        <v>4</v>
      </c>
      <c r="AD30" s="70" t="n">
        <v>5</v>
      </c>
      <c r="AE30" s="70" t="n">
        <v>6</v>
      </c>
      <c r="AF30" s="61" t="n"/>
      <c r="AG30" s="61" t="n"/>
    </row>
    <row r="31" ht="15" customHeight="1">
      <c r="A31" s="69" t="n">
        <v>7</v>
      </c>
      <c r="B31" s="68" t="n">
        <v>8</v>
      </c>
      <c r="C31" s="69" t="n">
        <v>9</v>
      </c>
      <c r="D31" s="69" t="n">
        <v>10</v>
      </c>
      <c r="E31" s="69" t="n">
        <v>11</v>
      </c>
      <c r="F31" s="70" t="n">
        <v>12</v>
      </c>
      <c r="G31" s="70" t="n">
        <v>13</v>
      </c>
      <c r="H31" s="61" t="n"/>
      <c r="I31" s="69" t="n">
        <v>5</v>
      </c>
      <c r="J31" s="69" t="n">
        <v>6</v>
      </c>
      <c r="K31" s="69" t="n">
        <v>7</v>
      </c>
      <c r="L31" s="68" t="n">
        <v>8</v>
      </c>
      <c r="M31" s="69" t="n">
        <v>9</v>
      </c>
      <c r="N31" s="70" t="n">
        <v>10</v>
      </c>
      <c r="O31" s="70" t="n">
        <v>11</v>
      </c>
      <c r="P31" s="61" t="n"/>
      <c r="Q31" s="69" t="n">
        <v>2</v>
      </c>
      <c r="R31" s="69" t="n">
        <v>3</v>
      </c>
      <c r="S31" s="69" t="n">
        <v>4</v>
      </c>
      <c r="T31" s="69" t="n">
        <v>5</v>
      </c>
      <c r="U31" s="69" t="n">
        <v>6</v>
      </c>
      <c r="V31" s="70" t="n">
        <v>7</v>
      </c>
      <c r="W31" s="71" t="n">
        <v>8</v>
      </c>
      <c r="X31" s="61" t="n"/>
      <c r="Y31" s="69" t="n">
        <v>7</v>
      </c>
      <c r="Z31" s="68" t="n">
        <v>8</v>
      </c>
      <c r="AA31" s="69" t="n">
        <v>9</v>
      </c>
      <c r="AB31" s="69" t="n">
        <v>10</v>
      </c>
      <c r="AC31" s="69" t="n">
        <v>11</v>
      </c>
      <c r="AD31" s="70" t="n">
        <v>12</v>
      </c>
      <c r="AE31" s="70" t="n">
        <v>13</v>
      </c>
      <c r="AF31" s="61" t="n"/>
      <c r="AG31" s="61" t="n"/>
    </row>
    <row r="32" ht="15" customHeight="1">
      <c r="A32" s="69" t="n">
        <v>14</v>
      </c>
      <c r="B32" s="68" t="n">
        <v>15</v>
      </c>
      <c r="C32" s="69" t="n">
        <v>16</v>
      </c>
      <c r="D32" s="69" t="n">
        <v>17</v>
      </c>
      <c r="E32" s="69" t="n">
        <v>18</v>
      </c>
      <c r="F32" s="70" t="n">
        <v>19</v>
      </c>
      <c r="G32" s="70" t="n">
        <v>20</v>
      </c>
      <c r="H32" s="61" t="n"/>
      <c r="I32" s="69" t="n">
        <v>12</v>
      </c>
      <c r="J32" s="69" t="n">
        <v>13</v>
      </c>
      <c r="K32" s="69" t="n">
        <v>14</v>
      </c>
      <c r="L32" s="68" t="n">
        <v>15</v>
      </c>
      <c r="M32" s="69" t="n">
        <v>16</v>
      </c>
      <c r="N32" s="70" t="n">
        <v>17</v>
      </c>
      <c r="O32" s="70" t="n">
        <v>18</v>
      </c>
      <c r="P32" s="61" t="n"/>
      <c r="Q32" s="69" t="n">
        <v>9</v>
      </c>
      <c r="R32" s="69" t="n">
        <v>10</v>
      </c>
      <c r="S32" s="69" t="n">
        <v>11</v>
      </c>
      <c r="T32" s="69" t="n">
        <v>12</v>
      </c>
      <c r="U32" s="69" t="n">
        <v>13</v>
      </c>
      <c r="V32" s="70" t="n">
        <v>14</v>
      </c>
      <c r="W32" s="71" t="n">
        <v>15</v>
      </c>
      <c r="X32" s="61" t="n"/>
      <c r="Y32" s="69" t="n">
        <v>14</v>
      </c>
      <c r="Z32" s="68" t="n">
        <v>15</v>
      </c>
      <c r="AA32" s="69" t="n">
        <v>16</v>
      </c>
      <c r="AB32" s="69" t="n">
        <v>17</v>
      </c>
      <c r="AC32" s="69" t="n">
        <v>18</v>
      </c>
      <c r="AD32" s="70" t="n">
        <v>19</v>
      </c>
      <c r="AE32" s="70" t="n">
        <v>20</v>
      </c>
      <c r="AF32" s="61" t="n"/>
      <c r="AG32" s="61" t="n"/>
    </row>
    <row r="33" ht="15" customHeight="1">
      <c r="A33" s="69" t="n">
        <v>21</v>
      </c>
      <c r="B33" s="68" t="n">
        <v>22</v>
      </c>
      <c r="C33" s="69" t="n">
        <v>23</v>
      </c>
      <c r="D33" s="69" t="n">
        <v>24</v>
      </c>
      <c r="E33" s="69" t="n">
        <v>25</v>
      </c>
      <c r="F33" s="70" t="n">
        <v>26</v>
      </c>
      <c r="G33" s="70" t="n">
        <v>27</v>
      </c>
      <c r="H33" s="61" t="n"/>
      <c r="I33" s="69" t="n">
        <v>19</v>
      </c>
      <c r="J33" s="69" t="n">
        <v>20</v>
      </c>
      <c r="K33" s="69" t="n">
        <v>21</v>
      </c>
      <c r="L33" s="68" t="n">
        <v>22</v>
      </c>
      <c r="M33" s="69" t="n">
        <v>23</v>
      </c>
      <c r="N33" s="70" t="n">
        <v>24</v>
      </c>
      <c r="O33" s="70" t="n">
        <v>25</v>
      </c>
      <c r="P33" s="61" t="n"/>
      <c r="Q33" s="69" t="n">
        <v>16</v>
      </c>
      <c r="R33" s="69" t="n">
        <v>17</v>
      </c>
      <c r="S33" s="69" t="n">
        <v>18</v>
      </c>
      <c r="T33" s="69" t="n">
        <v>19</v>
      </c>
      <c r="U33" s="69" t="n">
        <v>20</v>
      </c>
      <c r="V33" s="70" t="n">
        <v>21</v>
      </c>
      <c r="W33" s="71" t="n">
        <v>22</v>
      </c>
      <c r="X33" s="61" t="n"/>
      <c r="Y33" s="69" t="n">
        <v>21</v>
      </c>
      <c r="Z33" s="68" t="n">
        <v>22</v>
      </c>
      <c r="AA33" s="69" t="n">
        <v>23</v>
      </c>
      <c r="AB33" s="69" t="n">
        <v>24</v>
      </c>
      <c r="AC33" s="69" t="n">
        <v>25</v>
      </c>
      <c r="AD33" s="70" t="n">
        <v>26</v>
      </c>
      <c r="AE33" s="70" t="n">
        <v>27</v>
      </c>
      <c r="AF33" s="61" t="n"/>
      <c r="AG33" s="61" t="n"/>
    </row>
    <row r="34" ht="15" customHeight="1">
      <c r="A34" s="69" t="n">
        <v>28</v>
      </c>
      <c r="B34" s="69" t="n">
        <v>29</v>
      </c>
      <c r="C34" s="69" t="n">
        <v>30</v>
      </c>
      <c r="D34" s="67" t="inlineStr"/>
      <c r="E34" s="67" t="inlineStr"/>
      <c r="F34" s="67" t="inlineStr"/>
      <c r="G34" s="67" t="inlineStr"/>
      <c r="H34" s="61" t="n"/>
      <c r="I34" s="69" t="n">
        <v>26</v>
      </c>
      <c r="J34" s="69" t="n">
        <v>27</v>
      </c>
      <c r="K34" s="69" t="n">
        <v>28</v>
      </c>
      <c r="L34" s="69" t="n">
        <v>29</v>
      </c>
      <c r="M34" s="69" t="n">
        <v>30</v>
      </c>
      <c r="N34" s="70" t="n">
        <v>31</v>
      </c>
      <c r="O34" s="67" t="inlineStr"/>
      <c r="P34" s="61" t="n"/>
      <c r="Q34" s="69" t="n">
        <v>23</v>
      </c>
      <c r="R34" s="69" t="n">
        <v>24</v>
      </c>
      <c r="S34" s="69" t="n">
        <v>25</v>
      </c>
      <c r="T34" s="69" t="n">
        <v>26</v>
      </c>
      <c r="U34" s="69" t="n">
        <v>27</v>
      </c>
      <c r="V34" s="70" t="n">
        <v>28</v>
      </c>
      <c r="W34" s="70" t="n">
        <v>29</v>
      </c>
      <c r="X34" s="61" t="n"/>
      <c r="Y34" s="69" t="n">
        <v>28</v>
      </c>
      <c r="Z34" s="69" t="n">
        <v>29</v>
      </c>
      <c r="AA34" s="69" t="n">
        <v>30</v>
      </c>
      <c r="AB34" s="69" t="n">
        <v>31</v>
      </c>
      <c r="AC34" s="67" t="inlineStr"/>
      <c r="AD34" s="67" t="inlineStr"/>
      <c r="AE34" s="67" t="inlineStr"/>
      <c r="AF34" s="61" t="n"/>
      <c r="AG34" s="61" t="n"/>
    </row>
    <row r="35" ht="15" customHeight="1">
      <c r="A35" s="67" t="n"/>
      <c r="B35" s="67" t="n"/>
      <c r="C35" s="67" t="n"/>
      <c r="D35" s="67" t="n"/>
      <c r="E35" s="67" t="n"/>
      <c r="F35" s="67" t="n"/>
      <c r="G35" s="67" t="n"/>
      <c r="H35" s="61" t="n"/>
      <c r="I35" s="67" t="n"/>
      <c r="J35" s="67" t="n"/>
      <c r="K35" s="67" t="n"/>
      <c r="L35" s="67" t="n"/>
      <c r="M35" s="67" t="n"/>
      <c r="N35" s="67" t="n"/>
      <c r="O35" s="67" t="n"/>
      <c r="P35" s="61" t="n"/>
      <c r="Q35" s="69" t="n">
        <v>30</v>
      </c>
      <c r="R35" s="67" t="inlineStr"/>
      <c r="S35" s="67" t="inlineStr"/>
      <c r="T35" s="67" t="inlineStr"/>
      <c r="U35" s="67" t="inlineStr"/>
      <c r="V35" s="67" t="inlineStr"/>
      <c r="W35" s="67" t="inlineStr"/>
      <c r="X35" s="61" t="n"/>
      <c r="Y35" s="67" t="n"/>
      <c r="Z35" s="67" t="n"/>
      <c r="AA35" s="67" t="n"/>
      <c r="AB35" s="67" t="n"/>
      <c r="AC35" s="67" t="n"/>
      <c r="AD35" s="67" t="n"/>
      <c r="AE35" s="67" t="n"/>
      <c r="AF35" s="61" t="n"/>
      <c r="AG35" s="61" t="n"/>
    </row>
    <row r="36" ht="16" customHeight="1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61" t="n"/>
      <c r="AA36" s="61" t="n"/>
      <c r="AB36" s="61" t="n"/>
      <c r="AC36" s="61" t="n"/>
      <c r="AD36" s="61" t="n"/>
      <c r="AE36" s="61" t="n"/>
      <c r="AF36" s="61" t="n"/>
      <c r="AG36" s="61" t="n"/>
    </row>
    <row r="37" ht="16" customHeight="1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E37" s="61" t="n"/>
      <c r="AF37" s="61" t="n"/>
      <c r="AG37" s="61" t="n"/>
    </row>
    <row r="38" ht="16" customHeight="1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1" t="n"/>
      <c r="AG38" s="61" t="n"/>
    </row>
    <row r="39" ht="20" customHeight="1">
      <c r="A39" s="73" t="inlineStr">
        <is>
          <t xml:space="preserve">  Dias marcados (1, 8, 15, 22) = sugestao de revisao/inventario  |  Fim de semana em vermelho  |  Jah bless your schedule — One Love, One Excel! 2026</t>
        </is>
      </c>
      <c r="AG39" s="61" t="n"/>
    </row>
    <row r="40" ht="16" customHeight="1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1" t="n"/>
    </row>
    <row r="41" ht="16" customHeight="1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  <c r="AA41" s="61" t="n"/>
      <c r="AB41" s="61" t="n"/>
      <c r="AC41" s="61" t="n"/>
      <c r="AD41" s="61" t="n"/>
      <c r="AE41" s="61" t="n"/>
      <c r="AF41" s="61" t="n"/>
      <c r="AG41" s="61" t="n"/>
    </row>
    <row r="42" ht="16" customHeight="1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  <c r="AD42" s="61" t="n"/>
      <c r="AE42" s="61" t="n"/>
      <c r="AF42" s="61" t="n"/>
      <c r="AG42" s="61" t="n"/>
    </row>
    <row r="43" ht="16" customHeight="1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  <c r="AD43" s="61" t="n"/>
      <c r="AE43" s="61" t="n"/>
      <c r="AF43" s="61" t="n"/>
      <c r="AG43" s="61" t="n"/>
    </row>
    <row r="44" ht="16" customHeight="1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  <c r="AD44" s="61" t="n"/>
      <c r="AE44" s="61" t="n"/>
      <c r="AF44" s="61" t="n"/>
      <c r="AG44" s="61" t="n"/>
    </row>
    <row r="45" ht="16" customHeight="1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  <c r="AF45" s="61" t="n"/>
      <c r="AG45" s="61" t="n"/>
    </row>
    <row r="46" ht="16" customHeight="1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</row>
    <row r="47" ht="16" customHeight="1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  <c r="AD47" s="61" t="n"/>
      <c r="AE47" s="61" t="n"/>
      <c r="AF47" s="61" t="n"/>
      <c r="AG47" s="61" t="n"/>
    </row>
  </sheetData>
  <mergeCells count="15">
    <mergeCell ref="Y28:AE28"/>
    <mergeCell ref="A17:G17"/>
    <mergeCell ref="I17:O17"/>
    <mergeCell ref="A6:G6"/>
    <mergeCell ref="A28:G28"/>
    <mergeCell ref="Y17:AE17"/>
    <mergeCell ref="I28:O28"/>
    <mergeCell ref="A4:AF4"/>
    <mergeCell ref="I6:O6"/>
    <mergeCell ref="Q17:W17"/>
    <mergeCell ref="A39:AF39"/>
    <mergeCell ref="Y6:AE6"/>
    <mergeCell ref="Q6:W6"/>
    <mergeCell ref="A2:AF2"/>
    <mergeCell ref="Q28:W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Curva ABC Reggae</dc:creator>
  <dc:title>Curva ABC Reggae — Super Version</dc:title>
  <dc:subject>Dashboard ABC Pareto | 3 abas + Calendario | Reggae</dc:subject>
  <dcterms:created xsi:type="dcterms:W3CDTF">2026-05-14T10:03:17Z</dcterms:created>
  <dcterms:modified xsi:type="dcterms:W3CDTF">2026-05-14T17:03:16Z</dcterms:modified>
</cp:coreProperties>
</file>