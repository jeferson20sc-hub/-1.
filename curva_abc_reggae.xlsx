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🟢 Primeira" sheetId="1" state="visible" r:id="rId1"/>
    <sheet name="🟡 01" sheetId="2" state="visible" r:id="rId2"/>
    <sheet name="🔴 02" sheetId="3" state="visible" r:id="rId3"/>
    <sheet name="📅 CALENDÁRI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R$ #,##0.00"/>
    <numFmt numFmtId="165" formatCode="0.0%"/>
    <numFmt numFmtId="166" formatCode="R$ #,##0"/>
  </numFmts>
  <fonts count="27">
    <font>
      <name val="Calibri"/>
      <family val="2"/>
      <color theme="1"/>
      <sz val="11"/>
      <scheme val="minor"/>
    </font>
    <font>
      <name val="Calibri"/>
      <b val="1"/>
      <color rgb="00009B3A"/>
      <sz val="20"/>
    </font>
    <font>
      <name val="Calibri"/>
      <color rgb="00FFD700"/>
      <sz val="10"/>
    </font>
    <font>
      <name val="Calibri"/>
      <b val="1"/>
      <color rgb="00FFFFFF"/>
      <sz val="9"/>
    </font>
    <font>
      <name val="Calibri"/>
      <b val="1"/>
      <color rgb="00FFFFFF"/>
      <sz val="14"/>
    </font>
    <font>
      <name val="Calibri"/>
      <b val="1"/>
      <color rgb="00000000"/>
      <sz val="9"/>
    </font>
    <font>
      <name val="Calibri"/>
      <i val="1"/>
      <color rgb="00C8F5DB"/>
      <sz val="8"/>
    </font>
    <font>
      <name val="Calibri"/>
      <b val="1"/>
      <color rgb="00000000"/>
      <sz val="14"/>
    </font>
    <font>
      <name val="Calibri"/>
      <b val="1"/>
      <color rgb="00FFD700"/>
      <sz val="10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b val="1"/>
      <color rgb="00000000"/>
      <sz val="11"/>
    </font>
    <font>
      <name val="Calibri"/>
      <b val="1"/>
      <color rgb="00000000"/>
      <sz val="10"/>
    </font>
    <font>
      <name val="Calibri"/>
      <b val="1"/>
      <color rgb="00009B3A"/>
      <sz val="10"/>
    </font>
    <font>
      <name val="Calibri"/>
      <b val="1"/>
      <color rgb="00999999"/>
      <sz val="7"/>
    </font>
    <font>
      <name val="Calibri"/>
      <b val="1"/>
      <color rgb="00FFFFFF"/>
      <sz val="12"/>
    </font>
    <font>
      <name val="Calibri"/>
      <color rgb="00000000"/>
      <sz val="9"/>
    </font>
    <font>
      <name val="Calibri"/>
      <color rgb="00000000"/>
      <sz val="10"/>
    </font>
    <font>
      <name val="Calibri"/>
      <b val="1"/>
      <color rgb="00000000"/>
      <sz val="12"/>
    </font>
    <font>
      <name val="Calibri"/>
      <color rgb="00999999"/>
      <sz val="7"/>
    </font>
    <font>
      <name val="Calibri"/>
      <b val="1"/>
      <color rgb="00FFD700"/>
      <sz val="12"/>
    </font>
    <font>
      <name val="Calibri"/>
      <b val="1"/>
      <color rgb="00009B3A"/>
      <sz val="24"/>
    </font>
    <font>
      <name val="Calibri"/>
      <i val="1"/>
      <color rgb="00FFD700"/>
      <sz val="9"/>
    </font>
    <font>
      <name val="Calibri"/>
      <b val="1"/>
      <color rgb="00FFF8D0"/>
      <sz val="9"/>
    </font>
    <font>
      <name val="Calibri"/>
      <color rgb="00D6F5E3"/>
      <sz val="9"/>
    </font>
    <font>
      <name val="Calibri"/>
      <color rgb="00FFEDED"/>
      <sz val="9"/>
    </font>
    <font>
      <name val="Calibri"/>
      <b val="1"/>
      <color rgb="00FFEDED"/>
      <sz val="9"/>
    </font>
  </fonts>
  <fills count="19">
    <fill>
      <patternFill/>
    </fill>
    <fill>
      <patternFill patternType="gray125"/>
    </fill>
    <fill>
      <patternFill patternType="solid"/>
    </fill>
    <fill>
      <patternFill patternType="solid">
        <fgColor rgb="00009B3A"/>
      </patternFill>
    </fill>
    <fill>
      <patternFill patternType="solid">
        <fgColor rgb="00FFD700"/>
      </patternFill>
    </fill>
    <fill>
      <patternFill patternType="solid">
        <fgColor rgb="00CC0000"/>
      </patternFill>
    </fill>
    <fill>
      <patternFill patternType="solid">
        <fgColor rgb="001E1E1E"/>
      </patternFill>
    </fill>
    <fill>
      <patternFill patternType="solid">
        <fgColor rgb="00006B28"/>
      </patternFill>
    </fill>
    <fill>
      <patternFill patternType="solid">
        <fgColor rgb="00C8A400"/>
      </patternFill>
    </fill>
    <fill>
      <patternFill patternType="solid">
        <fgColor rgb="00990000"/>
      </patternFill>
    </fill>
    <fill>
      <patternFill patternType="solid">
        <fgColor rgb="00222222"/>
      </patternFill>
    </fill>
    <fill>
      <patternFill patternType="solid">
        <fgColor rgb="00D6F5E3"/>
      </patternFill>
    </fill>
    <fill>
      <patternFill patternType="solid">
        <fgColor rgb="00FFFFFF"/>
      </patternFill>
    </fill>
    <fill>
      <patternFill patternType="solid">
        <fgColor rgb="00FFF8D0"/>
      </patternFill>
    </fill>
    <fill>
      <patternFill patternType="solid">
        <fgColor rgb="00FFEDED"/>
      </patternFill>
    </fill>
    <fill>
      <patternFill patternType="solid">
        <fgColor rgb="00141414"/>
      </patternFill>
    </fill>
    <fill>
      <patternFill patternType="solid">
        <fgColor rgb="000A0A0A"/>
      </patternFill>
    </fill>
    <fill>
      <patternFill patternType="solid">
        <fgColor rgb="000D1A0D"/>
      </patternFill>
    </fill>
    <fill>
      <patternFill patternType="solid">
        <fgColor rgb="001A0000"/>
      </patternFill>
    </fill>
  </fills>
  <borders count="19">
    <border>
      <left/>
      <right/>
      <top/>
      <bottom/>
      <diagonal/>
    </border>
    <border>
      <left style="medium">
        <color rgb="00009B3A"/>
      </left>
      <right style="thin">
        <color rgb="00009B3A"/>
      </right>
      <top style="medium">
        <color rgb="00009B3A"/>
      </top>
      <bottom style="thin">
        <color rgb="00009B3A"/>
      </bottom>
    </border>
    <border>
      <left style="thin">
        <color rgb="00009B3A"/>
      </left>
      <right style="thin">
        <color rgb="00009B3A"/>
      </right>
      <top style="medium">
        <color rgb="00009B3A"/>
      </top>
      <bottom style="thin">
        <color rgb="00009B3A"/>
      </bottom>
    </border>
    <border>
      <left style="thin">
        <color rgb="00009B3A"/>
      </left>
      <right style="medium">
        <color rgb="00009B3A"/>
      </right>
      <top style="medium">
        <color rgb="00009B3A"/>
      </top>
      <bottom style="thin">
        <color rgb="00009B3A"/>
      </bottom>
    </border>
    <border>
      <left style="medium">
        <color rgb="00009B3A"/>
      </left>
      <right style="thin">
        <color rgb="00009B3A"/>
      </right>
      <top style="thin">
        <color rgb="00009B3A"/>
      </top>
      <bottom style="thin">
        <color rgb="00009B3A"/>
      </bottom>
    </border>
    <border>
      <left style="thin">
        <color rgb="00009B3A"/>
      </left>
      <right style="thin">
        <color rgb="00009B3A"/>
      </right>
      <top style="thin">
        <color rgb="00009B3A"/>
      </top>
      <bottom style="thin">
        <color rgb="00009B3A"/>
      </bottom>
    </border>
    <border>
      <left style="thin">
        <color rgb="00009B3A"/>
      </left>
      <right style="medium">
        <color rgb="00009B3A"/>
      </right>
      <top style="thin">
        <color rgb="00009B3A"/>
      </top>
      <bottom style="thin">
        <color rgb="00009B3A"/>
      </bottom>
    </border>
    <border>
      <left style="medium">
        <color rgb="00009B3A"/>
      </left>
      <right style="thin">
        <color rgb="00009B3A"/>
      </right>
      <top style="thin">
        <color rgb="00009B3A"/>
      </top>
      <bottom style="medium">
        <color rgb="00009B3A"/>
      </bottom>
    </border>
    <border>
      <left style="thin">
        <color rgb="00009B3A"/>
      </left>
      <right style="thin">
        <color rgb="00009B3A"/>
      </right>
      <top style="thin">
        <color rgb="00009B3A"/>
      </top>
      <bottom style="medium">
        <color rgb="00009B3A"/>
      </bottom>
    </border>
    <border>
      <left style="thin">
        <color rgb="00009B3A"/>
      </left>
      <right style="medium">
        <color rgb="00009B3A"/>
      </right>
      <top style="thin">
        <color rgb="00009B3A"/>
      </top>
      <bottom style="medium">
        <color rgb="00009B3A"/>
      </bottom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6B28"/>
      </left>
      <right style="thin">
        <color rgb="00006B28"/>
      </right>
      <top style="thin">
        <color rgb="00006B28"/>
      </top>
      <bottom style="thin">
        <color rgb="00006B28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medium">
        <color rgb="00006B28"/>
      </left>
      <right style="medium">
        <color rgb="00006B28"/>
      </right>
      <top style="thin">
        <color rgb="00DDDDDD"/>
      </top>
      <bottom style="thin">
        <color rgb="00DDDDDD"/>
      </bottom>
    </border>
    <border>
      <left style="thin">
        <color rgb="00009B3A"/>
      </left>
      <right style="thin">
        <color rgb="00009B3A"/>
      </right>
      <top style="medium">
        <color rgb="00009B3A"/>
      </top>
      <bottom style="medium">
        <color rgb="00009B3A"/>
      </bottom>
    </border>
    <border>
      <bottom style="medium">
        <color rgb="00FFFFFF"/>
      </bottom>
    </border>
    <border>
      <left style="thin">
        <color rgb="00141414"/>
      </left>
      <right style="thin">
        <color rgb="00141414"/>
      </right>
      <top style="thin">
        <color rgb="00141414"/>
      </top>
      <bottom style="thin">
        <color rgb="00141414"/>
      </bottom>
    </border>
    <border>
      <left style="hair">
        <color rgb="001A1A1A"/>
      </left>
      <right style="hair">
        <color rgb="001A1A1A"/>
      </right>
      <top style="hair">
        <color rgb="001A1A1A"/>
      </top>
      <bottom style="hair">
        <color rgb="001A1A1A"/>
      </bottom>
    </border>
  </borders>
  <cellStyleXfs count="1">
    <xf numFmtId="0" fontId="0" fillId="0" borderId="0"/>
  </cellStyleXfs>
  <cellXfs count="9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0" fillId="2" borderId="0" pivotButton="0" quotePrefix="0" xfId="0"/>
    <xf numFmtId="0" fontId="3" fillId="6" borderId="1" applyAlignment="1" pivotButton="0" quotePrefix="0" xfId="0">
      <alignment horizontal="center" vertical="center"/>
    </xf>
    <xf numFmtId="0" fontId="0" fillId="0" borderId="2" pivotButton="0" quotePrefix="0" xfId="0"/>
    <xf numFmtId="0" fontId="3" fillId="6" borderId="2" applyAlignment="1" pivotButton="0" quotePrefix="0" xfId="0">
      <alignment horizontal="center" vertical="center"/>
    </xf>
    <xf numFmtId="0" fontId="5" fillId="6" borderId="2" applyAlignment="1" pivotButton="0" quotePrefix="0" xfId="0">
      <alignment horizontal="center" vertical="center"/>
    </xf>
    <xf numFmtId="0" fontId="0" fillId="6" borderId="3" pivotButton="0" quotePrefix="0" xfId="0"/>
    <xf numFmtId="164" fontId="4" fillId="7" borderId="4" applyAlignment="1" pivotButton="0" quotePrefix="0" xfId="0">
      <alignment horizontal="center" vertical="center"/>
    </xf>
    <xf numFmtId="0" fontId="0" fillId="0" borderId="5" pivotButton="0" quotePrefix="0" xfId="0"/>
    <xf numFmtId="164" fontId="4" fillId="3" borderId="5" applyAlignment="1" pivotButton="0" quotePrefix="0" xfId="0">
      <alignment horizontal="center" vertical="center"/>
    </xf>
    <xf numFmtId="164" fontId="4" fillId="8" borderId="5" applyAlignment="1" pivotButton="0" quotePrefix="0" xfId="0">
      <alignment horizontal="center" vertical="center"/>
    </xf>
    <xf numFmtId="164" fontId="4" fillId="9" borderId="5" applyAlignment="1" pivotButton="0" quotePrefix="0" xfId="0">
      <alignment horizontal="center" vertical="center"/>
    </xf>
    <xf numFmtId="0" fontId="0" fillId="6" borderId="6" pivotButton="0" quotePrefix="0" xfId="0"/>
    <xf numFmtId="0" fontId="3" fillId="6" borderId="4" applyAlignment="1" pivotButton="0" quotePrefix="0" xfId="0">
      <alignment horizontal="center" vertical="center"/>
    </xf>
    <xf numFmtId="0" fontId="3" fillId="6" borderId="5" applyAlignment="1" pivotButton="0" quotePrefix="0" xfId="0">
      <alignment horizontal="center" vertical="center"/>
    </xf>
    <xf numFmtId="0" fontId="4" fillId="7" borderId="7" applyAlignment="1" pivotButton="0" quotePrefix="0" xfId="0">
      <alignment horizontal="center" vertical="center"/>
    </xf>
    <xf numFmtId="0" fontId="0" fillId="0" borderId="8" pivotButton="0" quotePrefix="0" xfId="0"/>
    <xf numFmtId="165" fontId="4" fillId="3" borderId="8" applyAlignment="1" pivotButton="0" quotePrefix="0" xfId="0">
      <alignment horizontal="center" vertical="center"/>
    </xf>
    <xf numFmtId="164" fontId="4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center" vertical="center"/>
    </xf>
    <xf numFmtId="0" fontId="0" fillId="6" borderId="9" pivotButton="0" quotePrefix="0" xfId="0"/>
    <xf numFmtId="0" fontId="6" fillId="7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0" fontId="3" fillId="10" borderId="10" applyAlignment="1" pivotButton="0" quotePrefix="0" xfId="0">
      <alignment horizontal="center" vertical="center"/>
    </xf>
    <xf numFmtId="0" fontId="3" fillId="6" borderId="0" applyAlignment="1" pivotButton="0" quotePrefix="0" xfId="0">
      <alignment horizontal="right" vertical="center"/>
    </xf>
    <xf numFmtId="9" fontId="7" fillId="3" borderId="0" applyAlignment="1" applyProtection="1" pivotButton="0" quotePrefix="0" xfId="0">
      <alignment horizontal="center" vertical="center"/>
      <protection locked="0" hidden="0"/>
    </xf>
    <xf numFmtId="0" fontId="9" fillId="3" borderId="11" applyAlignment="1" pivotButton="0" quotePrefix="0" xfId="0">
      <alignment horizontal="center" vertical="center"/>
    </xf>
    <xf numFmtId="166" fontId="10" fillId="3" borderId="11" applyAlignment="1" pivotButton="0" quotePrefix="0" xfId="0">
      <alignment horizontal="center" vertical="center"/>
    </xf>
    <xf numFmtId="165" fontId="10" fillId="3" borderId="11" applyAlignment="1" pivotButton="0" quotePrefix="0" xfId="0">
      <alignment horizontal="center" vertical="center"/>
    </xf>
    <xf numFmtId="0" fontId="10" fillId="3" borderId="11" applyAlignment="1" pivotButton="0" quotePrefix="0" xfId="0">
      <alignment horizontal="center" vertical="center"/>
    </xf>
    <xf numFmtId="9" fontId="4" fillId="8" borderId="0" applyAlignment="1" applyProtection="1" pivotButton="0" quotePrefix="0" xfId="0">
      <alignment horizontal="center" vertical="center"/>
      <protection locked="0" hidden="0"/>
    </xf>
    <xf numFmtId="0" fontId="11" fillId="8" borderId="11" applyAlignment="1" pivotButton="0" quotePrefix="0" xfId="0">
      <alignment horizontal="center" vertical="center"/>
    </xf>
    <xf numFmtId="166" fontId="12" fillId="8" borderId="11" applyAlignment="1" pivotButton="0" quotePrefix="0" xfId="0">
      <alignment horizontal="center" vertical="center"/>
    </xf>
    <xf numFmtId="165" fontId="12" fillId="8" borderId="11" applyAlignment="1" pivotButton="0" quotePrefix="0" xfId="0">
      <alignment horizontal="center" vertical="center"/>
    </xf>
    <xf numFmtId="0" fontId="12" fillId="8" borderId="11" applyAlignment="1" pivotButton="0" quotePrefix="0" xfId="0">
      <alignment horizontal="center" vertical="center"/>
    </xf>
    <xf numFmtId="0" fontId="13" fillId="2" borderId="12" applyAlignment="1" pivotButton="0" quotePrefix="0" xfId="0">
      <alignment horizontal="center" vertical="center"/>
    </xf>
    <xf numFmtId="0" fontId="10" fillId="2" borderId="12" applyAlignment="1" pivotButton="0" quotePrefix="0" xfId="0">
      <alignment horizontal="center" vertical="center"/>
    </xf>
    <xf numFmtId="0" fontId="10" fillId="2" borderId="12" applyAlignment="1" pivotButton="0" quotePrefix="0" xfId="0">
      <alignment horizontal="center" vertical="center" wrapText="1"/>
    </xf>
    <xf numFmtId="0" fontId="8" fillId="2" borderId="12" applyAlignment="1" pivotButton="0" quotePrefix="0" xfId="0">
      <alignment horizontal="center" vertical="center"/>
    </xf>
    <xf numFmtId="0" fontId="9" fillId="9" borderId="11" applyAlignment="1" pivotButton="0" quotePrefix="0" xfId="0">
      <alignment horizontal="center" vertical="center"/>
    </xf>
    <xf numFmtId="166" fontId="10" fillId="9" borderId="11" applyAlignment="1" pivotButton="0" quotePrefix="0" xfId="0">
      <alignment horizontal="center" vertical="center"/>
    </xf>
    <xf numFmtId="165" fontId="10" fillId="9" borderId="11" applyAlignment="1" pivotButton="0" quotePrefix="0" xfId="0">
      <alignment horizontal="center" vertical="center"/>
    </xf>
    <xf numFmtId="0" fontId="10" fillId="9" borderId="11" applyAlignment="1" pivotButton="0" quotePrefix="0" xfId="0">
      <alignment horizontal="center" vertical="center"/>
    </xf>
    <xf numFmtId="0" fontId="14" fillId="6" borderId="0" applyAlignment="1" pivotButton="0" quotePrefix="0" xfId="0">
      <alignment horizontal="center" vertical="center"/>
    </xf>
    <xf numFmtId="0" fontId="15" fillId="3" borderId="11" applyAlignment="1" pivotButton="0" quotePrefix="0" xfId="0">
      <alignment horizontal="center" vertical="center"/>
    </xf>
    <xf numFmtId="0" fontId="16" fillId="11" borderId="13" applyAlignment="1" pivotButton="0" quotePrefix="0" xfId="0">
      <alignment horizontal="center" vertical="center"/>
    </xf>
    <xf numFmtId="0" fontId="17" fillId="11" borderId="13" applyAlignment="1" pivotButton="0" quotePrefix="0" xfId="0">
      <alignment horizontal="left" vertical="center"/>
    </xf>
    <xf numFmtId="3" fontId="12" fillId="12" borderId="14" applyAlignment="1" applyProtection="1" pivotButton="0" quotePrefix="0" xfId="0">
      <alignment horizontal="center" vertical="center"/>
      <protection locked="0" hidden="0"/>
    </xf>
    <xf numFmtId="164" fontId="12" fillId="12" borderId="14" applyAlignment="1" applyProtection="1" pivotButton="0" quotePrefix="0" xfId="0">
      <alignment horizontal="right" vertical="center"/>
      <protection locked="0" hidden="0"/>
    </xf>
    <xf numFmtId="164" fontId="12" fillId="11" borderId="13" applyAlignment="1" pivotButton="0" quotePrefix="0" xfId="0">
      <alignment horizontal="right" vertical="center"/>
    </xf>
    <xf numFmtId="10" fontId="17" fillId="11" borderId="13" applyAlignment="1" pivotButton="0" quotePrefix="0" xfId="0">
      <alignment horizontal="center" vertical="center"/>
    </xf>
    <xf numFmtId="0" fontId="19" fillId="6" borderId="0" applyAlignment="1" pivotButton="0" quotePrefix="0" xfId="0">
      <alignment horizontal="left" vertical="center"/>
    </xf>
    <xf numFmtId="10" fontId="19" fillId="7" borderId="0" pivotButton="0" quotePrefix="0" xfId="0"/>
    <xf numFmtId="10" fontId="19" fillId="8" borderId="0" pivotButton="0" quotePrefix="0" xfId="0"/>
    <xf numFmtId="10" fontId="19" fillId="9" borderId="0" pivotButton="0" quotePrefix="0" xfId="0"/>
    <xf numFmtId="10" fontId="19" fillId="6" borderId="0" pivotButton="0" quotePrefix="0" xfId="0"/>
    <xf numFmtId="0" fontId="19" fillId="7" borderId="0" pivotButton="0" quotePrefix="0" xfId="0"/>
    <xf numFmtId="0" fontId="19" fillId="8" borderId="0" pivotButton="0" quotePrefix="0" xfId="0"/>
    <xf numFmtId="0" fontId="19" fillId="9" borderId="0" pivotButton="0" quotePrefix="0" xfId="0"/>
    <xf numFmtId="0" fontId="18" fillId="8" borderId="11" applyAlignment="1" pivotButton="0" quotePrefix="0" xfId="0">
      <alignment horizontal="center" vertical="center"/>
    </xf>
    <xf numFmtId="0" fontId="16" fillId="13" borderId="13" applyAlignment="1" pivotButton="0" quotePrefix="0" xfId="0">
      <alignment horizontal="center" vertical="center"/>
    </xf>
    <xf numFmtId="0" fontId="17" fillId="13" borderId="13" applyAlignment="1" pivotButton="0" quotePrefix="0" xfId="0">
      <alignment horizontal="left" vertical="center"/>
    </xf>
    <xf numFmtId="164" fontId="12" fillId="13" borderId="13" applyAlignment="1" pivotButton="0" quotePrefix="0" xfId="0">
      <alignment horizontal="right" vertical="center"/>
    </xf>
    <xf numFmtId="10" fontId="17" fillId="13" borderId="13" applyAlignment="1" pivotButton="0" quotePrefix="0" xfId="0">
      <alignment horizontal="center" vertical="center"/>
    </xf>
    <xf numFmtId="0" fontId="15" fillId="9" borderId="11" applyAlignment="1" pivotButton="0" quotePrefix="0" xfId="0">
      <alignment horizontal="center" vertical="center"/>
    </xf>
    <xf numFmtId="0" fontId="16" fillId="14" borderId="13" applyAlignment="1" pivotButton="0" quotePrefix="0" xfId="0">
      <alignment horizontal="center" vertical="center"/>
    </xf>
    <xf numFmtId="0" fontId="17" fillId="14" borderId="13" applyAlignment="1" pivotButton="0" quotePrefix="0" xfId="0">
      <alignment horizontal="left" vertical="center"/>
    </xf>
    <xf numFmtId="164" fontId="12" fillId="14" borderId="13" applyAlignment="1" pivotButton="0" quotePrefix="0" xfId="0">
      <alignment horizontal="right" vertical="center"/>
    </xf>
    <xf numFmtId="10" fontId="17" fillId="14" borderId="13" applyAlignment="1" pivotButton="0" quotePrefix="0" xfId="0">
      <alignment horizontal="center" vertical="center"/>
    </xf>
    <xf numFmtId="0" fontId="20" fillId="2" borderId="15" applyAlignment="1" pivotButton="0" quotePrefix="0" xfId="0">
      <alignment horizontal="center" vertical="center"/>
    </xf>
    <xf numFmtId="0" fontId="0" fillId="0" borderId="15" pivotButton="0" quotePrefix="0" xfId="0"/>
    <xf numFmtId="3" fontId="15" fillId="2" borderId="15" applyAlignment="1" pivotButton="0" quotePrefix="0" xfId="0">
      <alignment horizontal="center" vertical="center"/>
    </xf>
    <xf numFmtId="0" fontId="0" fillId="2" borderId="15" pivotButton="0" quotePrefix="0" xfId="0"/>
    <xf numFmtId="164" fontId="15" fillId="3" borderId="15" applyAlignment="1" pivotButton="0" quotePrefix="0" xfId="0">
      <alignment horizontal="right" vertical="center"/>
    </xf>
    <xf numFmtId="9" fontId="15" fillId="2" borderId="15" applyAlignment="1" pivotButton="0" quotePrefix="0" xfId="0">
      <alignment horizontal="center" vertical="center"/>
    </xf>
    <xf numFmtId="0" fontId="21" fillId="2" borderId="0" applyAlignment="1" pivotButton="0" quotePrefix="0" xfId="0">
      <alignment horizontal="center" vertical="center"/>
    </xf>
    <xf numFmtId="0" fontId="0" fillId="15" borderId="0" pivotButton="0" quotePrefix="0" xfId="0"/>
    <xf numFmtId="0" fontId="22" fillId="2" borderId="0" applyAlignment="1" pivotButton="0" quotePrefix="0" xfId="0">
      <alignment horizontal="left" vertical="center"/>
    </xf>
    <xf numFmtId="0" fontId="9" fillId="7" borderId="16" applyAlignment="1" pivotButton="0" quotePrefix="0" xfId="0">
      <alignment horizontal="center" vertical="center"/>
    </xf>
    <xf numFmtId="0" fontId="9" fillId="8" borderId="16" applyAlignment="1" pivotButton="0" quotePrefix="0" xfId="0">
      <alignment horizontal="center" vertical="center"/>
    </xf>
    <xf numFmtId="0" fontId="3" fillId="7" borderId="17" applyAlignment="1" pivotButton="0" quotePrefix="0" xfId="0">
      <alignment horizontal="center" vertical="center"/>
    </xf>
    <xf numFmtId="0" fontId="3" fillId="9" borderId="17" applyAlignment="1" pivotButton="0" quotePrefix="0" xfId="0">
      <alignment horizontal="center" vertical="center"/>
    </xf>
    <xf numFmtId="0" fontId="0" fillId="16" borderId="0" pivotButton="0" quotePrefix="0" xfId="0"/>
    <xf numFmtId="0" fontId="23" fillId="7" borderId="18" applyAlignment="1" pivotButton="0" quotePrefix="0" xfId="0">
      <alignment horizontal="center" vertical="center"/>
    </xf>
    <xf numFmtId="0" fontId="24" fillId="17" borderId="18" applyAlignment="1" pivotButton="0" quotePrefix="0" xfId="0">
      <alignment horizontal="center" vertical="center"/>
    </xf>
    <xf numFmtId="0" fontId="25" fillId="18" borderId="18" applyAlignment="1" pivotButton="0" quotePrefix="0" xfId="0">
      <alignment horizontal="center" vertical="center"/>
    </xf>
    <xf numFmtId="0" fontId="26" fillId="18" borderId="18" applyAlignment="1" pivotButton="0" quotePrefix="0" xfId="0">
      <alignment horizontal="center" vertical="center"/>
    </xf>
    <xf numFmtId="0" fontId="9" fillId="9" borderId="16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color rgb="00000000"/>
      </font>
      <fill>
        <patternFill patternType="solid">
          <fgColor rgb="00D6F5E3"/>
        </patternFill>
      </fill>
    </dxf>
    <dxf>
      <font>
        <color rgb="00000000"/>
      </font>
      <fill>
        <patternFill patternType="solid">
          <fgColor rgb="00FFF8D0"/>
        </patternFill>
      </fill>
    </dxf>
    <dxf>
      <font>
        <color rgb="00000000"/>
      </font>
      <fill>
        <patternFill patternType="solid">
          <fgColor rgb="00FF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🇯🇲  CURVA ABC REGGAE — PRIMEIRA  —  Curva ABC de Pareto</a:t>
            </a:r>
          </a:p>
        </rich>
      </tx>
    </title>
    <plotArea>
      <areaChart>
        <grouping val="stacked"/>
        <ser>
          <idx val="0"/>
          <order val="0"/>
          <tx>
            <v>🟢 Faixa A (≤80%)</v>
          </tx>
          <spPr>
            <a:solidFill>
              <a:srgbClr val="A8E6C0"/>
            </a:solidFill>
            <a:ln w="6000">
              <a:solidFill>
                <a:srgbClr val="009B3A"/>
              </a:solidFill>
              <a:prstDash val="solid"/>
            </a:ln>
          </spPr>
          <cat>
            <numRef>
              <f>'🟢 Primeira'!$P$12:$P$21</f>
            </numRef>
          </cat>
          <val>
            <numRef>
              <f>'🟢 Primeira'!$U$12:$U$21</f>
            </numRef>
          </val>
        </ser>
        <ser>
          <idx val="1"/>
          <order val="1"/>
          <tx>
            <v>🟡 Faixa B (80-95%)</v>
          </tx>
          <spPr>
            <a:solidFill>
              <a:srgbClr val="FFE87C"/>
            </a:solidFill>
            <a:ln w="6000">
              <a:solidFill>
                <a:srgbClr val="C8A400"/>
              </a:solidFill>
              <a:prstDash val="solid"/>
            </a:ln>
          </spPr>
          <cat>
            <numRef>
              <f>'🟢 Primeira'!$P$12:$P$21</f>
            </numRef>
          </cat>
          <val>
            <numRef>
              <f>'🟢 Primeira'!$V$12:$V$21</f>
            </numRef>
          </val>
        </ser>
        <ser>
          <idx val="2"/>
          <order val="2"/>
          <tx>
            <v>🔴 Faixa C (&gt;95%)</v>
          </tx>
          <spPr>
            <a:solidFill>
              <a:srgbClr val="FFAD99"/>
            </a:solidFill>
            <a:ln w="6000">
              <a:solidFill>
                <a:srgbClr val="990000"/>
              </a:solidFill>
              <a:prstDash val="solid"/>
            </a:ln>
          </spPr>
          <cat>
            <numRef>
              <f>'🟢 Primeira'!$P$12:$P$21</f>
            </numRef>
          </cat>
          <val>
            <numRef>
              <f>'🟢 Primeira'!$W$12:$W$21</f>
            </numRef>
          </val>
        </ser>
        <axId val="10"/>
        <axId val="100"/>
      </areaChart>
      <barChart>
        <barDir val="col"/>
        <grouping val="stacked"/>
        <ser>
          <idx val="3"/>
          <order val="3"/>
          <tx>
            <v>🟢 Classe A</v>
          </tx>
          <spPr>
            <a:solidFill>
              <a:srgbClr val="009B3A"/>
            </a:solidFill>
            <a:ln w="8000">
              <a:solidFill>
                <a:srgbClr val="006B28"/>
              </a:solidFill>
              <a:prstDash val="solid"/>
            </a:ln>
          </spPr>
          <cat>
            <numRef>
              <f>'🟢 Primeira'!$P$12:$P$21</f>
            </numRef>
          </cat>
          <val>
            <numRef>
              <f>'🟢 Primeira'!$Q$12:$Q$21</f>
            </numRef>
          </val>
        </ser>
        <ser>
          <idx val="4"/>
          <order val="4"/>
          <tx>
            <v>🟡 Classe B</v>
          </tx>
          <spPr>
            <a:solidFill>
              <a:srgbClr val="FFD700"/>
            </a:solidFill>
            <a:ln w="8000">
              <a:solidFill>
                <a:srgbClr val="C8A400"/>
              </a:solidFill>
              <a:prstDash val="solid"/>
            </a:ln>
          </spPr>
          <cat>
            <numRef>
              <f>'🟢 Primeira'!$P$12:$P$21</f>
            </numRef>
          </cat>
          <val>
            <numRef>
              <f>'🟢 Primeira'!$R$12:$R$21</f>
            </numRef>
          </val>
        </ser>
        <ser>
          <idx val="5"/>
          <order val="5"/>
          <tx>
            <v>🔴 Classe C</v>
          </tx>
          <spPr>
            <a:solidFill>
              <a:srgbClr val="CC0000"/>
            </a:solidFill>
            <a:ln w="8000">
              <a:solidFill>
                <a:srgbClr val="990000"/>
              </a:solidFill>
              <a:prstDash val="solid"/>
            </a:ln>
          </spPr>
          <cat>
            <numRef>
              <f>'🟢 Primeira'!$P$12:$P$21</f>
            </numRef>
          </cat>
          <val>
            <numRef>
              <f>'🟢 Primeira'!$S$12:$S$21</f>
            </numRef>
          </val>
        </ser>
        <dLbls>
          <numFmt formatCode="0.0%"/>
          <showVal val="1"/>
          <showCatName val="0"/>
          <showSerName val="0"/>
        </dLbls>
        <gapWidth val="150"/>
        <axId val="10"/>
        <axId val="100"/>
      </barChart>
      <lineChart>
        <grouping val="standard"/>
        <ser>
          <idx val="6"/>
          <order val="6"/>
          <tx>
            <v>📈 % Acumulado (Curva Pareto)</v>
          </tx>
          <spPr>
            <a:ln w="28000">
              <a:solidFill>
                <a:srgbClr val="111111"/>
              </a:solidFill>
              <a:prstDash val="solid"/>
            </a:ln>
          </spPr>
          <marker>
            <symbol val="circle"/>
            <size val="5"/>
            <spPr>
              <a:solidFill>
                <a:srgbClr val="000000"/>
              </a:solidFill>
              <a:ln>
                <a:solidFill>
                  <a:srgbClr val="FFFFFF"/>
                </a:solidFill>
                <a:prstDash val="solid"/>
              </a:ln>
            </spPr>
          </marker>
          <cat>
            <numRef>
              <f>'🟢 Primeira'!$P$12:$P$21</f>
            </numRef>
          </cat>
          <val>
            <numRef>
              <f>'🟢 Primeira'!$T$12:$T$21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Produtos (ordenados por V.T. decrescente — nome do produto no eixo X)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do Valor Total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🇯🇲  CURVA ABC REGGAE — ABA 01  —  Curva ABC de Pareto</a:t>
            </a:r>
          </a:p>
        </rich>
      </tx>
    </title>
    <plotArea>
      <areaChart>
        <grouping val="stacked"/>
        <ser>
          <idx val="0"/>
          <order val="0"/>
          <tx>
            <v>🟢 Faixa A (≤80%)</v>
          </tx>
          <spPr>
            <a:solidFill>
              <a:srgbClr val="A8E6C0"/>
            </a:solidFill>
            <a:ln w="6000">
              <a:solidFill>
                <a:srgbClr val="009B3A"/>
              </a:solidFill>
              <a:prstDash val="solid"/>
            </a:ln>
          </spPr>
          <cat>
            <numRef>
              <f>'🟡 01'!$P$12:$P$31</f>
            </numRef>
          </cat>
          <val>
            <numRef>
              <f>'🟡 01'!$U$12:$U$31</f>
            </numRef>
          </val>
        </ser>
        <ser>
          <idx val="1"/>
          <order val="1"/>
          <tx>
            <v>🟡 Faixa B (80-95%)</v>
          </tx>
          <spPr>
            <a:solidFill>
              <a:srgbClr val="FFE87C"/>
            </a:solidFill>
            <a:ln w="6000">
              <a:solidFill>
                <a:srgbClr val="C8A400"/>
              </a:solidFill>
              <a:prstDash val="solid"/>
            </a:ln>
          </spPr>
          <cat>
            <numRef>
              <f>'🟡 01'!$P$12:$P$31</f>
            </numRef>
          </cat>
          <val>
            <numRef>
              <f>'🟡 01'!$V$12:$V$31</f>
            </numRef>
          </val>
        </ser>
        <ser>
          <idx val="2"/>
          <order val="2"/>
          <tx>
            <v>🔴 Faixa C (&gt;95%)</v>
          </tx>
          <spPr>
            <a:solidFill>
              <a:srgbClr val="FFAD99"/>
            </a:solidFill>
            <a:ln w="6000">
              <a:solidFill>
                <a:srgbClr val="990000"/>
              </a:solidFill>
              <a:prstDash val="solid"/>
            </a:ln>
          </spPr>
          <cat>
            <numRef>
              <f>'🟡 01'!$P$12:$P$31</f>
            </numRef>
          </cat>
          <val>
            <numRef>
              <f>'🟡 01'!$W$12:$W$31</f>
            </numRef>
          </val>
        </ser>
        <axId val="10"/>
        <axId val="100"/>
      </areaChart>
      <barChart>
        <barDir val="col"/>
        <grouping val="stacked"/>
        <ser>
          <idx val="3"/>
          <order val="3"/>
          <tx>
            <v>🟢 Classe A</v>
          </tx>
          <spPr>
            <a:solidFill>
              <a:srgbClr val="009B3A"/>
            </a:solidFill>
            <a:ln w="8000">
              <a:solidFill>
                <a:srgbClr val="006B28"/>
              </a:solidFill>
              <a:prstDash val="solid"/>
            </a:ln>
          </spPr>
          <cat>
            <numRef>
              <f>'🟡 01'!$P$12:$P$31</f>
            </numRef>
          </cat>
          <val>
            <numRef>
              <f>'🟡 01'!$Q$12:$Q$31</f>
            </numRef>
          </val>
        </ser>
        <ser>
          <idx val="4"/>
          <order val="4"/>
          <tx>
            <v>🟡 Classe B</v>
          </tx>
          <spPr>
            <a:solidFill>
              <a:srgbClr val="FFD700"/>
            </a:solidFill>
            <a:ln w="8000">
              <a:solidFill>
                <a:srgbClr val="C8A400"/>
              </a:solidFill>
              <a:prstDash val="solid"/>
            </a:ln>
          </spPr>
          <cat>
            <numRef>
              <f>'🟡 01'!$P$12:$P$31</f>
            </numRef>
          </cat>
          <val>
            <numRef>
              <f>'🟡 01'!$R$12:$R$31</f>
            </numRef>
          </val>
        </ser>
        <ser>
          <idx val="5"/>
          <order val="5"/>
          <tx>
            <v>🔴 Classe C</v>
          </tx>
          <spPr>
            <a:solidFill>
              <a:srgbClr val="CC0000"/>
            </a:solidFill>
            <a:ln w="8000">
              <a:solidFill>
                <a:srgbClr val="990000"/>
              </a:solidFill>
              <a:prstDash val="solid"/>
            </a:ln>
          </spPr>
          <cat>
            <numRef>
              <f>'🟡 01'!$P$12:$P$31</f>
            </numRef>
          </cat>
          <val>
            <numRef>
              <f>'🟡 01'!$S$12:$S$31</f>
            </numRef>
          </val>
        </ser>
        <dLbls>
          <numFmt formatCode="0.0%"/>
          <showVal val="1"/>
          <showCatName val="0"/>
          <showSerName val="0"/>
        </dLbls>
        <gapWidth val="150"/>
        <axId val="10"/>
        <axId val="100"/>
      </barChart>
      <lineChart>
        <grouping val="standard"/>
        <ser>
          <idx val="6"/>
          <order val="6"/>
          <tx>
            <v>📈 % Acumulado (Curva Pareto)</v>
          </tx>
          <spPr>
            <a:ln w="28000">
              <a:solidFill>
                <a:srgbClr val="111111"/>
              </a:solidFill>
              <a:prstDash val="solid"/>
            </a:ln>
          </spPr>
          <marker>
            <symbol val="circle"/>
            <size val="5"/>
            <spPr>
              <a:solidFill>
                <a:srgbClr val="000000"/>
              </a:solidFill>
              <a:ln>
                <a:solidFill>
                  <a:srgbClr val="FFFFFF"/>
                </a:solidFill>
                <a:prstDash val="solid"/>
              </a:ln>
            </spPr>
          </marker>
          <cat>
            <numRef>
              <f>'🟡 01'!$P$12:$P$31</f>
            </numRef>
          </cat>
          <val>
            <numRef>
              <f>'🟡 01'!$T$12:$T$31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Produtos (ordenados por V.T. decrescente — nome do produto no eixo X)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do Valor Total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🇯🇲  CURVA ABC REGGAE — ABA 02  —  Curva ABC de Pareto</a:t>
            </a:r>
          </a:p>
        </rich>
      </tx>
    </title>
    <plotArea>
      <areaChart>
        <grouping val="stacked"/>
        <ser>
          <idx val="0"/>
          <order val="0"/>
          <tx>
            <v>🟢 Faixa A (≤80%)</v>
          </tx>
          <spPr>
            <a:solidFill>
              <a:srgbClr val="A8E6C0"/>
            </a:solidFill>
            <a:ln w="6000">
              <a:solidFill>
                <a:srgbClr val="009B3A"/>
              </a:solidFill>
              <a:prstDash val="solid"/>
            </a:ln>
          </spPr>
          <cat>
            <numRef>
              <f>'🔴 02'!$P$12:$P$41</f>
            </numRef>
          </cat>
          <val>
            <numRef>
              <f>'🔴 02'!$U$12:$U$41</f>
            </numRef>
          </val>
        </ser>
        <ser>
          <idx val="1"/>
          <order val="1"/>
          <tx>
            <v>🟡 Faixa B (80-95%)</v>
          </tx>
          <spPr>
            <a:solidFill>
              <a:srgbClr val="FFE87C"/>
            </a:solidFill>
            <a:ln w="6000">
              <a:solidFill>
                <a:srgbClr val="C8A400"/>
              </a:solidFill>
              <a:prstDash val="solid"/>
            </a:ln>
          </spPr>
          <cat>
            <numRef>
              <f>'🔴 02'!$P$12:$P$41</f>
            </numRef>
          </cat>
          <val>
            <numRef>
              <f>'🔴 02'!$V$12:$V$41</f>
            </numRef>
          </val>
        </ser>
        <ser>
          <idx val="2"/>
          <order val="2"/>
          <tx>
            <v>🔴 Faixa C (&gt;95%)</v>
          </tx>
          <spPr>
            <a:solidFill>
              <a:srgbClr val="FFAD99"/>
            </a:solidFill>
            <a:ln w="6000">
              <a:solidFill>
                <a:srgbClr val="990000"/>
              </a:solidFill>
              <a:prstDash val="solid"/>
            </a:ln>
          </spPr>
          <cat>
            <numRef>
              <f>'🔴 02'!$P$12:$P$41</f>
            </numRef>
          </cat>
          <val>
            <numRef>
              <f>'🔴 02'!$W$12:$W$41</f>
            </numRef>
          </val>
        </ser>
        <axId val="10"/>
        <axId val="100"/>
      </areaChart>
      <barChart>
        <barDir val="col"/>
        <grouping val="stacked"/>
        <ser>
          <idx val="3"/>
          <order val="3"/>
          <tx>
            <v>🟢 Classe A</v>
          </tx>
          <spPr>
            <a:solidFill>
              <a:srgbClr val="009B3A"/>
            </a:solidFill>
            <a:ln w="8000">
              <a:solidFill>
                <a:srgbClr val="006B28"/>
              </a:solidFill>
              <a:prstDash val="solid"/>
            </a:ln>
          </spPr>
          <cat>
            <numRef>
              <f>'🔴 02'!$P$12:$P$41</f>
            </numRef>
          </cat>
          <val>
            <numRef>
              <f>'🔴 02'!$Q$12:$Q$41</f>
            </numRef>
          </val>
        </ser>
        <ser>
          <idx val="4"/>
          <order val="4"/>
          <tx>
            <v>🟡 Classe B</v>
          </tx>
          <spPr>
            <a:solidFill>
              <a:srgbClr val="FFD700"/>
            </a:solidFill>
            <a:ln w="8000">
              <a:solidFill>
                <a:srgbClr val="C8A400"/>
              </a:solidFill>
              <a:prstDash val="solid"/>
            </a:ln>
          </spPr>
          <cat>
            <numRef>
              <f>'🔴 02'!$P$12:$P$41</f>
            </numRef>
          </cat>
          <val>
            <numRef>
              <f>'🔴 02'!$R$12:$R$41</f>
            </numRef>
          </val>
        </ser>
        <ser>
          <idx val="5"/>
          <order val="5"/>
          <tx>
            <v>🔴 Classe C</v>
          </tx>
          <spPr>
            <a:solidFill>
              <a:srgbClr val="CC0000"/>
            </a:solidFill>
            <a:ln w="8000">
              <a:solidFill>
                <a:srgbClr val="990000"/>
              </a:solidFill>
              <a:prstDash val="solid"/>
            </a:ln>
          </spPr>
          <cat>
            <numRef>
              <f>'🔴 02'!$P$12:$P$41</f>
            </numRef>
          </cat>
          <val>
            <numRef>
              <f>'🔴 02'!$S$12:$S$41</f>
            </numRef>
          </val>
        </ser>
        <dLbls>
          <numFmt formatCode="0.0%"/>
          <showVal val="1"/>
          <showCatName val="0"/>
          <showSerName val="0"/>
        </dLbls>
        <gapWidth val="150"/>
        <axId val="10"/>
        <axId val="100"/>
      </barChart>
      <lineChart>
        <grouping val="standard"/>
        <ser>
          <idx val="6"/>
          <order val="6"/>
          <tx>
            <v>📈 % Acumulado (Curva Pareto)</v>
          </tx>
          <spPr>
            <a:ln w="28000">
              <a:solidFill>
                <a:srgbClr val="111111"/>
              </a:solidFill>
              <a:prstDash val="solid"/>
            </a:ln>
          </spPr>
          <marker>
            <symbol val="circle"/>
            <size val="5"/>
            <spPr>
              <a:solidFill>
                <a:srgbClr val="000000"/>
              </a:solidFill>
              <a:ln>
                <a:solidFill>
                  <a:srgbClr val="FFFFFF"/>
                </a:solidFill>
                <a:prstDash val="solid"/>
              </a:ln>
            </spPr>
          </marker>
          <cat>
            <numRef>
              <f>'🔴 02'!$P$12:$P$41</f>
            </numRef>
          </cat>
          <val>
            <numRef>
              <f>'🔴 02'!$T$12:$T$41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Produtos (ordenados por V.T. decrescente — nome do produto no eixo X)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do Valor Total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24</row>
      <rowOff>0</rowOff>
    </from>
    <ext cx="122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122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44</row>
      <rowOff>0</rowOff>
    </from>
    <ext cx="122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rgb="00006B28"/>
    <outlinePr summaryBelow="1" summaryRight="1"/>
    <pageSetUpPr/>
  </sheetPr>
  <dimension ref="A1:W22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8" customWidth="1" min="3" max="3"/>
    <col width="30" customWidth="1" min="4" max="4"/>
    <col width="10" customWidth="1" min="5" max="5"/>
    <col width="14" customWidth="1" min="6" max="6"/>
    <col width="16" customWidth="1" min="7" max="7"/>
    <col width="12" customWidth="1" min="8" max="8"/>
    <col width="12" customWidth="1" min="9" max="9"/>
    <col width="2" customWidth="1" min="10" max="10"/>
    <col width="11" customWidth="1" min="11" max="11"/>
    <col width="16" customWidth="1" min="12" max="12"/>
    <col width="10" customWidth="1" min="13" max="13"/>
    <col width="10" customWidth="1" min="14" max="14"/>
    <col width="2" customWidth="1" min="15" max="15"/>
    <col width="28" customWidth="1" min="16" max="16"/>
    <col width="13" customWidth="1" min="17" max="17"/>
    <col width="13" customWidth="1" min="18" max="18"/>
    <col width="13" customWidth="1" min="19" max="19"/>
    <col width="13" customWidth="1" min="20" max="20"/>
    <col width="10" customWidth="1" min="21" max="21"/>
    <col width="10" customWidth="1" min="22" max="22"/>
    <col width="10" customWidth="1" min="23" max="23"/>
  </cols>
  <sheetData>
    <row r="1" ht="54" customHeight="1">
      <c r="A1" s="1" t="inlineStr">
        <is>
          <t>🇯🇲  CURVA ABC REGGAE — PRIMEIRA  —  One Love, One Excel! ✌️</t>
        </is>
      </c>
      <c r="J1" s="2" t="inlineStr">
        <is>
          <t>🟢 A = até 80%  |  🟡 B = 80–95%  |  🔴 C = 95–100%</t>
        </is>
      </c>
      <c r="O1" s="3" t="n"/>
    </row>
    <row r="2" ht="8" customHeight="1">
      <c r="A2" s="4" t="n"/>
      <c r="B2" s="3" t="n"/>
      <c r="C2" s="5" t="n"/>
      <c r="D2" s="6" t="n"/>
      <c r="E2" s="4" t="n"/>
      <c r="F2" s="3" t="n"/>
      <c r="G2" s="5" t="n"/>
      <c r="H2" s="6" t="n"/>
      <c r="I2" s="4" t="n"/>
      <c r="J2" s="3" t="n"/>
      <c r="K2" s="5" t="n"/>
      <c r="L2" s="6" t="n"/>
      <c r="M2" s="4" t="n"/>
      <c r="N2" s="3" t="n"/>
    </row>
    <row r="3" ht="24" customHeight="1">
      <c r="A3" s="7" t="inlineStr">
        <is>
          <t>💰 V.T. TOTAL</t>
        </is>
      </c>
      <c r="B3" s="8" t="n"/>
      <c r="C3" s="9" t="inlineStr">
        <is>
          <t>🟢 V.T. CLASSE A</t>
        </is>
      </c>
      <c r="D3" s="8" t="n"/>
      <c r="E3" s="10" t="inlineStr">
        <is>
          <t>🟡 V.T. CLASSE B</t>
        </is>
      </c>
      <c r="F3" s="8" t="n"/>
      <c r="G3" s="9" t="inlineStr">
        <is>
          <t>🔴 MAIOR V.T.</t>
        </is>
      </c>
      <c r="H3" s="8" t="n"/>
      <c r="I3" s="11" t="n"/>
    </row>
    <row r="4" ht="32" customHeight="1">
      <c r="A4" s="12">
        <f>SUM($G$12:$G$21)</f>
        <v/>
      </c>
      <c r="B4" s="13" t="n"/>
      <c r="C4" s="14">
        <f>SUMIF($A$12:$A$21,"A",$G$12:$G$21)</f>
        <v/>
      </c>
      <c r="D4" s="13" t="n"/>
      <c r="E4" s="15">
        <f>SUMIF($A$12:$A$21,"B",$G$12:$G$21)</f>
        <v/>
      </c>
      <c r="F4" s="13" t="n"/>
      <c r="G4" s="16">
        <f>MAX($G$12:$G$21)</f>
        <v/>
      </c>
      <c r="H4" s="13" t="n"/>
      <c r="I4" s="17" t="n"/>
    </row>
    <row r="5" ht="24" customHeight="1">
      <c r="A5" s="18" t="inlineStr">
        <is>
          <t>📦 TOTAL DE ITENS</t>
        </is>
      </c>
      <c r="B5" s="13" t="n"/>
      <c r="C5" s="19" t="inlineStr">
        <is>
          <t>% ITENS CLASSE A</t>
        </is>
      </c>
      <c r="D5" s="13" t="n"/>
      <c r="E5" s="19" t="inlineStr">
        <is>
          <t>🔴 V.T. CLASSE C</t>
        </is>
      </c>
      <c r="F5" s="13" t="n"/>
      <c r="G5" s="19" t="inlineStr">
        <is>
          <t>✅ STATUS</t>
        </is>
      </c>
      <c r="H5" s="13" t="n"/>
      <c r="I5" s="17" t="n"/>
    </row>
    <row r="6" ht="32" customHeight="1">
      <c r="A6" s="20">
        <f>COUNTA($D$12:$D$21)</f>
        <v/>
      </c>
      <c r="B6" s="21" t="n"/>
      <c r="C6" s="22">
        <f>IFERROR(COUNTIF($A$12:$A$21,"A")/COUNTA($D$12:$D$21),0)</f>
        <v/>
      </c>
      <c r="D6" s="21" t="n"/>
      <c r="E6" s="23">
        <f>SUMIF($A$12:$A$21,"C",$G$12:$G$21)</f>
        <v/>
      </c>
      <c r="F6" s="21" t="n"/>
      <c r="G6" s="24">
        <f>IF(IFERROR(MAX($I$12:$I$21),0)&gt;1.001,"⚠️ VERIFICAR","✅ OK")</f>
        <v/>
      </c>
      <c r="H6" s="21" t="n"/>
      <c r="I6" s="25" t="n"/>
    </row>
    <row r="7" ht="8" customHeight="1">
      <c r="A7" s="5" t="n"/>
      <c r="B7" s="3" t="n"/>
      <c r="C7" s="4" t="n"/>
      <c r="D7" s="6" t="n"/>
      <c r="E7" s="5" t="n"/>
      <c r="F7" s="3" t="n"/>
      <c r="G7" s="4" t="n"/>
      <c r="H7" s="6" t="n"/>
      <c r="I7" s="5" t="n"/>
      <c r="J7" s="3" t="n"/>
      <c r="K7" s="4" t="n"/>
      <c r="L7" s="6" t="n"/>
      <c r="M7" s="5" t="n"/>
      <c r="N7" s="3" t="n"/>
    </row>
    <row r="8" ht="20" customHeight="1">
      <c r="A8" s="26" t="inlineStr">
        <is>
          <t xml:space="preserve">  ✏️  Edite somente: Qtd. (col E) e Custo Unit. (col F)  |  Limite A → célula B9  |  Limite B → célula B10  |  As fórmulas V.T., % e ABC recalculam automaticamente</t>
        </is>
      </c>
      <c r="K8" s="27" t="inlineStr">
        <is>
          <t>RESUMO POR CLASSE</t>
        </is>
      </c>
      <c r="L8" s="28" t="n"/>
      <c r="M8" s="28" t="n"/>
      <c r="N8" s="28" t="n"/>
    </row>
    <row r="9" ht="24" customHeight="1">
      <c r="A9" s="29" t="inlineStr">
        <is>
          <t>Limite A (Classe A):</t>
        </is>
      </c>
      <c r="B9" s="30" t="n">
        <v>0.8</v>
      </c>
      <c r="K9" s="31" t="inlineStr">
        <is>
          <t>A</t>
        </is>
      </c>
      <c r="L9" s="32">
        <f>SUMIF($A$12:$A$21,"A",$G$12:$G$21)</f>
        <v/>
      </c>
      <c r="M9" s="33">
        <f>IFERROR(L9/SUM($G$12:$G$21),0)</f>
        <v/>
      </c>
      <c r="N9" s="34">
        <f>COUNTIF($A$12:$A$21,"A")</f>
        <v/>
      </c>
    </row>
    <row r="10" ht="24" customHeight="1">
      <c r="A10" s="29" t="inlineStr">
        <is>
          <t>Limite B (Classe B):</t>
        </is>
      </c>
      <c r="B10" s="35" t="n">
        <v>0.95</v>
      </c>
      <c r="K10" s="36" t="inlineStr">
        <is>
          <t>B</t>
        </is>
      </c>
      <c r="L10" s="37">
        <f>SUMIF($A$12:$A$21,"B",$G$12:$G$21)</f>
        <v/>
      </c>
      <c r="M10" s="38">
        <f>IFERROR(L10/SUM($G$12:$G$21),0)</f>
        <v/>
      </c>
      <c r="N10" s="39">
        <f>COUNTIF($A$12:$A$21,"B")</f>
        <v/>
      </c>
    </row>
    <row r="11" ht="26" customHeight="1">
      <c r="A11" s="40" t="inlineStr">
        <is>
          <t>ABC</t>
        </is>
      </c>
      <c r="B11" s="41" t="inlineStr">
        <is>
          <t>SKU</t>
        </is>
      </c>
      <c r="C11" s="41" t="inlineStr">
        <is>
          <t>Cod.</t>
        </is>
      </c>
      <c r="D11" s="42" t="inlineStr">
        <is>
          <t>Descrição do Produto</t>
        </is>
      </c>
      <c r="E11" s="43" t="inlineStr">
        <is>
          <t>Qtd.</t>
        </is>
      </c>
      <c r="F11" s="43" t="inlineStr">
        <is>
          <t>Custo Unit.(R$)</t>
        </is>
      </c>
      <c r="G11" s="40" t="inlineStr">
        <is>
          <t>V.T. (R$)</t>
        </is>
      </c>
      <c r="H11" s="41" t="inlineStr">
        <is>
          <t>% Individual</t>
        </is>
      </c>
      <c r="I11" s="41" t="inlineStr">
        <is>
          <t>% Acumulado</t>
        </is>
      </c>
      <c r="K11" s="44" t="inlineStr">
        <is>
          <t>C</t>
        </is>
      </c>
      <c r="L11" s="45">
        <f>SUMIF($A$12:$A$21,"C",$G$12:$G$21)</f>
        <v/>
      </c>
      <c r="M11" s="46">
        <f>IFERROR(L11/SUM($G$12:$G$21),0)</f>
        <v/>
      </c>
      <c r="N11" s="47">
        <f>COUNTIF($A$12:$A$21,"C")</f>
        <v/>
      </c>
      <c r="P11" s="48" t="inlineStr">
        <is>
          <t>Rótulo X</t>
        </is>
      </c>
      <c r="Q11" s="48" t="inlineStr">
        <is>
          <t>%IndA</t>
        </is>
      </c>
      <c r="R11" s="48" t="inlineStr">
        <is>
          <t>%IndB</t>
        </is>
      </c>
      <c r="S11" s="48" t="inlineStr">
        <is>
          <t>%IndC</t>
        </is>
      </c>
      <c r="T11" s="48" t="inlineStr">
        <is>
          <t>%Acum.</t>
        </is>
      </c>
      <c r="U11" s="48" t="inlineStr">
        <is>
          <t>ZonaA</t>
        </is>
      </c>
      <c r="V11" s="48" t="inlineStr">
        <is>
          <t>ZonaB</t>
        </is>
      </c>
      <c r="W11" s="48" t="inlineStr">
        <is>
          <t>ZonaC</t>
        </is>
      </c>
    </row>
    <row r="12" ht="18" customHeight="1">
      <c r="A12" s="49">
        <f>IF($I12&lt;=$B$9,"A",IF($I12&lt;=$B$10,"B","C"))</f>
        <v/>
      </c>
      <c r="B12" s="50" t="inlineStr">
        <is>
          <t>SKU01</t>
        </is>
      </c>
      <c r="C12" s="50" t="n">
        <v>3</v>
      </c>
      <c r="D12" s="51" t="inlineStr">
        <is>
          <t>Servidor Backup</t>
        </is>
      </c>
      <c r="E12" s="52" t="n">
        <v>2</v>
      </c>
      <c r="F12" s="53" t="n">
        <v>25000</v>
      </c>
      <c r="G12" s="54">
        <f>IFERROR(E12*F12,0)</f>
        <v/>
      </c>
      <c r="H12" s="55">
        <f>IFERROR(G12/SUM($G$12:$G$21),0)</f>
        <v/>
      </c>
      <c r="I12" s="55">
        <f>IFERROR(SUMIF($G$12:$G$21,"&gt;="&amp;G12,$G$12:$G$21)/SUM($G$12:$G$21),0)</f>
        <v/>
      </c>
      <c r="P12" s="56" t="inlineStr">
        <is>
          <t>A — SKU01 — Servidor Backup</t>
        </is>
      </c>
      <c r="Q12" s="57" t="n">
        <v>0.37781</v>
      </c>
      <c r="R12" s="58" t="n">
        <v>0</v>
      </c>
      <c r="S12" s="59" t="n">
        <v>0</v>
      </c>
      <c r="T12" s="60" t="n">
        <v>0.37781</v>
      </c>
      <c r="U12" s="61" t="n">
        <v>1</v>
      </c>
      <c r="V12" s="62" t="n">
        <v>0</v>
      </c>
      <c r="W12" s="63" t="n">
        <v>0</v>
      </c>
    </row>
    <row r="13" ht="18" customHeight="1">
      <c r="A13" s="49">
        <f>IF($I13&lt;=$B$9,"A",IF($I13&lt;=$B$10,"B","C"))</f>
        <v/>
      </c>
      <c r="B13" s="50" t="inlineStr">
        <is>
          <t>SKU02</t>
        </is>
      </c>
      <c r="C13" s="50" t="n">
        <v>5</v>
      </c>
      <c r="D13" s="51" t="inlineStr">
        <is>
          <t>Monitor 27" 4K</t>
        </is>
      </c>
      <c r="E13" s="52" t="n">
        <v>10</v>
      </c>
      <c r="F13" s="53" t="n">
        <v>3000</v>
      </c>
      <c r="G13" s="54">
        <f>IFERROR(E13*F13,0)</f>
        <v/>
      </c>
      <c r="H13" s="55">
        <f>IFERROR(G13/SUM($G$12:$G$21),0)</f>
        <v/>
      </c>
      <c r="I13" s="55">
        <f>IFERROR(SUMIF($G$12:$G$21,"&gt;="&amp;G13,$G$12:$G$21)/SUM($G$12:$G$21),0)</f>
        <v/>
      </c>
      <c r="P13" s="56" t="inlineStr">
        <is>
          <t>A — SKU02 — Monitor 27" 4K</t>
        </is>
      </c>
      <c r="Q13" s="57" t="n">
        <v>0.22669</v>
      </c>
      <c r="R13" s="58" t="n">
        <v>0</v>
      </c>
      <c r="S13" s="59" t="n">
        <v>0</v>
      </c>
      <c r="T13" s="60" t="n">
        <v>0.6045</v>
      </c>
      <c r="U13" s="61" t="n">
        <v>1</v>
      </c>
      <c r="V13" s="62" t="n">
        <v>0</v>
      </c>
      <c r="W13" s="63" t="n">
        <v>0</v>
      </c>
    </row>
    <row r="14" ht="18" customHeight="1">
      <c r="A14" s="64">
        <f>IF($I14&lt;=$B$9,"A",IF($I14&lt;=$B$10,"B","C"))</f>
        <v/>
      </c>
      <c r="B14" s="65" t="inlineStr">
        <is>
          <t>SKU03</t>
        </is>
      </c>
      <c r="C14" s="65" t="n">
        <v>9</v>
      </c>
      <c r="D14" s="66" t="inlineStr">
        <is>
          <t>Notebook Administrativo</t>
        </is>
      </c>
      <c r="E14" s="52" t="n">
        <v>6</v>
      </c>
      <c r="F14" s="53" t="n">
        <v>4500</v>
      </c>
      <c r="G14" s="67">
        <f>IFERROR(E14*F14,0)</f>
        <v/>
      </c>
      <c r="H14" s="68">
        <f>IFERROR(G14/SUM($G$12:$G$21),0)</f>
        <v/>
      </c>
      <c r="I14" s="68">
        <f>IFERROR(SUMIF($G$12:$G$21,"&gt;="&amp;G14,$G$12:$G$21)/SUM($G$12:$G$21),0)</f>
        <v/>
      </c>
      <c r="P14" s="56" t="inlineStr">
        <is>
          <t>B — SKU03 — Notebook Administrat</t>
        </is>
      </c>
      <c r="Q14" s="57" t="n">
        <v>0</v>
      </c>
      <c r="R14" s="58" t="n">
        <v>0.20402</v>
      </c>
      <c r="S14" s="59" t="n">
        <v>0</v>
      </c>
      <c r="T14" s="60" t="n">
        <v>0.80852</v>
      </c>
      <c r="U14" s="61" t="n">
        <v>0</v>
      </c>
      <c r="V14" s="62" t="n">
        <v>1</v>
      </c>
      <c r="W14" s="63" t="n">
        <v>0</v>
      </c>
    </row>
    <row r="15" ht="18" customHeight="1">
      <c r="A15" s="64">
        <f>IF($I15&lt;=$B$9,"A",IF($I15&lt;=$B$10,"B","C"))</f>
        <v/>
      </c>
      <c r="B15" s="65" t="inlineStr">
        <is>
          <t>SKU04</t>
        </is>
      </c>
      <c r="C15" s="65" t="n">
        <v>1</v>
      </c>
      <c r="D15" s="66" t="inlineStr">
        <is>
          <t>Nobreak Profissional</t>
        </is>
      </c>
      <c r="E15" s="52" t="n">
        <v>5</v>
      </c>
      <c r="F15" s="53" t="n">
        <v>2000</v>
      </c>
      <c r="G15" s="67">
        <f>IFERROR(E15*F15,0)</f>
        <v/>
      </c>
      <c r="H15" s="68">
        <f>IFERROR(G15/SUM($G$12:$G$21),0)</f>
        <v/>
      </c>
      <c r="I15" s="68">
        <f>IFERROR(SUMIF($G$12:$G$21,"&gt;="&amp;G15,$G$12:$G$21)/SUM($G$12:$G$21),0)</f>
        <v/>
      </c>
      <c r="P15" s="56" t="inlineStr">
        <is>
          <t>B — SKU04 — Nobreak Profissional</t>
        </is>
      </c>
      <c r="Q15" s="57" t="n">
        <v>0</v>
      </c>
      <c r="R15" s="58" t="n">
        <v>0.07556</v>
      </c>
      <c r="S15" s="59" t="n">
        <v>0</v>
      </c>
      <c r="T15" s="60" t="n">
        <v>0.88409</v>
      </c>
      <c r="U15" s="61" t="n">
        <v>0</v>
      </c>
      <c r="V15" s="62" t="n">
        <v>1</v>
      </c>
      <c r="W15" s="63" t="n">
        <v>0</v>
      </c>
    </row>
    <row r="16" ht="18" customHeight="1">
      <c r="A16" s="64">
        <f>IF($I16&lt;=$B$9,"A",IF($I16&lt;=$B$10,"B","C"))</f>
        <v/>
      </c>
      <c r="B16" s="65" t="inlineStr">
        <is>
          <t>SKU05</t>
        </is>
      </c>
      <c r="C16" s="65" t="n">
        <v>7</v>
      </c>
      <c r="D16" s="66" t="inlineStr">
        <is>
          <t>Switch Gerenciavel</t>
        </is>
      </c>
      <c r="E16" s="52" t="n">
        <v>4</v>
      </c>
      <c r="F16" s="53" t="n">
        <v>1500</v>
      </c>
      <c r="G16" s="67">
        <f>IFERROR(E16*F16,0)</f>
        <v/>
      </c>
      <c r="H16" s="68">
        <f>IFERROR(G16/SUM($G$12:$G$21),0)</f>
        <v/>
      </c>
      <c r="I16" s="68">
        <f>IFERROR(SUMIF($G$12:$G$21,"&gt;="&amp;G16,$G$12:$G$21)/SUM($G$12:$G$21),0)</f>
        <v/>
      </c>
      <c r="P16" s="56" t="inlineStr">
        <is>
          <t>B — SKU05 — Switch Gerenciavel</t>
        </is>
      </c>
      <c r="Q16" s="57" t="n">
        <v>0</v>
      </c>
      <c r="R16" s="58" t="n">
        <v>0.04534</v>
      </c>
      <c r="S16" s="59" t="n">
        <v>0</v>
      </c>
      <c r="T16" s="60" t="n">
        <v>0.92942</v>
      </c>
      <c r="U16" s="61" t="n">
        <v>0</v>
      </c>
      <c r="V16" s="62" t="n">
        <v>1</v>
      </c>
      <c r="W16" s="63" t="n">
        <v>0</v>
      </c>
    </row>
    <row r="17" ht="18" customHeight="1">
      <c r="A17" s="69">
        <f>IF($I17&lt;=$B$9,"A",IF($I17&lt;=$B$10,"B","C"))</f>
        <v/>
      </c>
      <c r="B17" s="70" t="inlineStr">
        <is>
          <t>SKU06</t>
        </is>
      </c>
      <c r="C17" s="70" t="n">
        <v>4</v>
      </c>
      <c r="D17" s="71" t="inlineStr">
        <is>
          <t>Mouse sem fio</t>
        </is>
      </c>
      <c r="E17" s="52" t="n">
        <v>40</v>
      </c>
      <c r="F17" s="53" t="n">
        <v>50</v>
      </c>
      <c r="G17" s="72">
        <f>IFERROR(E17*F17,0)</f>
        <v/>
      </c>
      <c r="H17" s="73">
        <f>IFERROR(G17/SUM($G$12:$G$21),0)</f>
        <v/>
      </c>
      <c r="I17" s="73">
        <f>IFERROR(SUMIF($G$12:$G$21,"&gt;="&amp;G17,$G$12:$G$21)/SUM($G$12:$G$21),0)</f>
        <v/>
      </c>
      <c r="P17" s="56" t="inlineStr">
        <is>
          <t>C — SKU08 — Teclado USB</t>
        </is>
      </c>
      <c r="Q17" s="57" t="n">
        <v>0</v>
      </c>
      <c r="R17" s="58" t="n">
        <v>0</v>
      </c>
      <c r="S17" s="59" t="n">
        <v>0.02116</v>
      </c>
      <c r="T17" s="60" t="n">
        <v>0.95058</v>
      </c>
      <c r="U17" s="61" t="n">
        <v>0</v>
      </c>
      <c r="V17" s="62" t="n">
        <v>0</v>
      </c>
      <c r="W17" s="63" t="n">
        <v>1</v>
      </c>
    </row>
    <row r="18" ht="18" customHeight="1">
      <c r="A18" s="69">
        <f>IF($I18&lt;=$B$9,"A",IF($I18&lt;=$B$10,"B","C"))</f>
        <v/>
      </c>
      <c r="B18" s="70" t="inlineStr">
        <is>
          <t>SKU07</t>
        </is>
      </c>
      <c r="C18" s="70" t="n">
        <v>8</v>
      </c>
      <c r="D18" s="71" t="inlineStr">
        <is>
          <t>Patch Cord 1m</t>
        </is>
      </c>
      <c r="E18" s="52" t="n">
        <v>100</v>
      </c>
      <c r="F18" s="53" t="n">
        <v>15</v>
      </c>
      <c r="G18" s="72">
        <f>IFERROR(E18*F18,0)</f>
        <v/>
      </c>
      <c r="H18" s="73">
        <f>IFERROR(G18/SUM($G$12:$G$21),0)</f>
        <v/>
      </c>
      <c r="I18" s="73">
        <f>IFERROR(SUMIF($G$12:$G$21,"&gt;="&amp;G18,$G$12:$G$21)/SUM($G$12:$G$21),0)</f>
        <v/>
      </c>
      <c r="P18" s="56" t="inlineStr">
        <is>
          <t>C — SKU06 — Mouse sem fio</t>
        </is>
      </c>
      <c r="Q18" s="57" t="n">
        <v>0</v>
      </c>
      <c r="R18" s="58" t="n">
        <v>0</v>
      </c>
      <c r="S18" s="59" t="n">
        <v>0.01511</v>
      </c>
      <c r="T18" s="60" t="n">
        <v>0.96569</v>
      </c>
      <c r="U18" s="61" t="n">
        <v>0</v>
      </c>
      <c r="V18" s="62" t="n">
        <v>0</v>
      </c>
      <c r="W18" s="63" t="n">
        <v>1</v>
      </c>
    </row>
    <row r="19" ht="18" customHeight="1">
      <c r="A19" s="69">
        <f>IF($I19&lt;=$B$9,"A",IF($I19&lt;=$B$10,"B","C"))</f>
        <v/>
      </c>
      <c r="B19" s="70" t="inlineStr">
        <is>
          <t>SKU08</t>
        </is>
      </c>
      <c r="C19" s="70" t="n">
        <v>6</v>
      </c>
      <c r="D19" s="71" t="inlineStr">
        <is>
          <t>Teclado USB</t>
        </is>
      </c>
      <c r="E19" s="52" t="n">
        <v>80</v>
      </c>
      <c r="F19" s="53" t="n">
        <v>35</v>
      </c>
      <c r="G19" s="72">
        <f>IFERROR(E19*F19,0)</f>
        <v/>
      </c>
      <c r="H19" s="73">
        <f>IFERROR(G19/SUM($G$12:$G$21),0)</f>
        <v/>
      </c>
      <c r="I19" s="73">
        <f>IFERROR(SUMIF($G$12:$G$21,"&gt;="&amp;G19,$G$12:$G$21)/SUM($G$12:$G$21),0)</f>
        <v/>
      </c>
      <c r="P19" s="56" t="inlineStr">
        <is>
          <t>C — SKU09 — Cabo Rede Cat6 (m)</t>
        </is>
      </c>
      <c r="Q19" s="57" t="n">
        <v>0</v>
      </c>
      <c r="R19" s="58" t="n">
        <v>0</v>
      </c>
      <c r="S19" s="59" t="n">
        <v>0.01209</v>
      </c>
      <c r="T19" s="60" t="n">
        <v>0.97778</v>
      </c>
      <c r="U19" s="61" t="n">
        <v>0</v>
      </c>
      <c r="V19" s="62" t="n">
        <v>0</v>
      </c>
      <c r="W19" s="63" t="n">
        <v>1</v>
      </c>
    </row>
    <row r="20" ht="18" customHeight="1">
      <c r="A20" s="69">
        <f>IF($I20&lt;=$B$9,"A",IF($I20&lt;=$B$10,"B","C"))</f>
        <v/>
      </c>
      <c r="B20" s="70" t="inlineStr">
        <is>
          <t>SKU09</t>
        </is>
      </c>
      <c r="C20" s="70" t="n">
        <v>2</v>
      </c>
      <c r="D20" s="71" t="inlineStr">
        <is>
          <t>Cabo Rede Cat6 (m)</t>
        </is>
      </c>
      <c r="E20" s="52" t="n">
        <v>200</v>
      </c>
      <c r="F20" s="53" t="n">
        <v>8</v>
      </c>
      <c r="G20" s="72">
        <f>IFERROR(E20*F20,0)</f>
        <v/>
      </c>
      <c r="H20" s="73">
        <f>IFERROR(G20/SUM($G$12:$G$21),0)</f>
        <v/>
      </c>
      <c r="I20" s="73">
        <f>IFERROR(SUMIF($G$12:$G$21,"&gt;="&amp;G20,$G$12:$G$21)/SUM($G$12:$G$21),0)</f>
        <v/>
      </c>
      <c r="P20" s="56" t="inlineStr">
        <is>
          <t>C — SKU07 — Patch Cord 1m</t>
        </is>
      </c>
      <c r="Q20" s="57" t="n">
        <v>0</v>
      </c>
      <c r="R20" s="58" t="n">
        <v>0</v>
      </c>
      <c r="S20" s="59" t="n">
        <v>0.01133</v>
      </c>
      <c r="T20" s="60" t="n">
        <v>0.98912</v>
      </c>
      <c r="U20" s="61" t="n">
        <v>0</v>
      </c>
      <c r="V20" s="62" t="n">
        <v>0</v>
      </c>
      <c r="W20" s="63" t="n">
        <v>1</v>
      </c>
    </row>
    <row r="21" ht="18" customHeight="1">
      <c r="A21" s="69">
        <f>IF($I21&lt;=$B$9,"A",IF($I21&lt;=$B$10,"B","C"))</f>
        <v/>
      </c>
      <c r="B21" s="70" t="inlineStr">
        <is>
          <t>SKU10</t>
        </is>
      </c>
      <c r="C21" s="70" t="n">
        <v>10</v>
      </c>
      <c r="D21" s="71" t="inlineStr">
        <is>
          <t>Mousepad Slim</t>
        </is>
      </c>
      <c r="E21" s="52" t="n">
        <v>120</v>
      </c>
      <c r="F21" s="53" t="n">
        <v>12</v>
      </c>
      <c r="G21" s="72">
        <f>IFERROR(E21*F21,0)</f>
        <v/>
      </c>
      <c r="H21" s="73">
        <f>IFERROR(G21/SUM($G$12:$G$21),0)</f>
        <v/>
      </c>
      <c r="I21" s="73">
        <f>IFERROR(SUMIF($G$12:$G$21,"&gt;="&amp;G21,$G$12:$G$21)/SUM($G$12:$G$21),0)</f>
        <v/>
      </c>
      <c r="P21" s="56" t="inlineStr">
        <is>
          <t>C — SKU10 — Mousepad Slim</t>
        </is>
      </c>
      <c r="Q21" s="57" t="n">
        <v>0</v>
      </c>
      <c r="R21" s="58" t="n">
        <v>0</v>
      </c>
      <c r="S21" s="59" t="n">
        <v>0.01088</v>
      </c>
      <c r="T21" s="60" t="n">
        <v>1</v>
      </c>
      <c r="U21" s="61" t="n">
        <v>0</v>
      </c>
      <c r="V21" s="62" t="n">
        <v>0</v>
      </c>
      <c r="W21" s="63" t="n">
        <v>1</v>
      </c>
    </row>
    <row r="22" ht="24" customHeight="1">
      <c r="A22" s="74" t="inlineStr">
        <is>
          <t>TOTAL GERAL</t>
        </is>
      </c>
      <c r="B22" s="75" t="n"/>
      <c r="C22" s="75" t="n"/>
      <c r="D22" s="75" t="n"/>
      <c r="E22" s="76">
        <f>SUM(E12:E21)</f>
        <v/>
      </c>
      <c r="F22" s="77" t="n"/>
      <c r="G22" s="78">
        <f>SUM(G12:G21)</f>
        <v/>
      </c>
      <c r="H22" s="79" t="n">
        <v>1</v>
      </c>
      <c r="I22" s="79" t="n">
        <v>1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F0B1"/>
  <mergeCells count="21">
    <mergeCell ref="C6:D6"/>
    <mergeCell ref="A22:D22"/>
    <mergeCell ref="C5:D5"/>
    <mergeCell ref="E5:F5"/>
    <mergeCell ref="J1:N1"/>
    <mergeCell ref="A6:B6"/>
    <mergeCell ref="C4:D4"/>
    <mergeCell ref="E4:F4"/>
    <mergeCell ref="A8:I8"/>
    <mergeCell ref="G6:H6"/>
    <mergeCell ref="A3:B3"/>
    <mergeCell ref="G3:H3"/>
    <mergeCell ref="E6:F6"/>
    <mergeCell ref="A5:B5"/>
    <mergeCell ref="G5:H5"/>
    <mergeCell ref="A4:B4"/>
    <mergeCell ref="G4:H4"/>
    <mergeCell ref="A1:I1"/>
    <mergeCell ref="K8:N8"/>
    <mergeCell ref="C3:D3"/>
    <mergeCell ref="E3:F3"/>
  </mergeCells>
  <conditionalFormatting sqref="A12:I21">
    <cfRule type="expression" priority="1" dxfId="0">
      <formula>$A12="A"</formula>
    </cfRule>
    <cfRule type="expression" priority="2" dxfId="1">
      <formula>$A12="B"</formula>
    </cfRule>
    <cfRule type="expression" priority="3" dxfId="2">
      <formula>$A12="C"</formula>
    </cfRule>
  </conditionalFormatting>
  <dataValidations count="2">
    <dataValidation sqref="B9" showDropDown="0" showInputMessage="1" showErrorMessage="1" allowBlank="0" errorTitle="❌ Valor Inválido — Tente Novamente" error="Digite um valor entre 0,50 e 0,89 (ex: 0,80 para 80%)" promptTitle="ℹ️ Dica de Preenchimento" prompt="Digite um percentual decimal (ex: 0,80 para 80%)" type="decimal" operator="between">
      <formula1>0.5</formula1>
      <formula2>0.99</formula2>
    </dataValidation>
    <dataValidation sqref="B10" showDropDown="0" showInputMessage="1" showErrorMessage="1" allowBlank="0" errorTitle="❌ Valor Inválido — Tente Novamente" error="Digite um valor entre 0,50 e 0,99 (ex: 0,95 para 95%)" promptTitle="ℹ️ Dica de Preenchimento" prompt="Digite um percentual decimal (ex: 0,80 para 80%)" type="decimal" operator="between">
      <formula1>0.5</formula1>
      <formula2>0.99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C8A400"/>
    <outlinePr summaryBelow="1" summaryRight="1"/>
    <pageSetUpPr/>
  </sheetPr>
  <dimension ref="A1:W32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8" customWidth="1" min="3" max="3"/>
    <col width="30" customWidth="1" min="4" max="4"/>
    <col width="10" customWidth="1" min="5" max="5"/>
    <col width="14" customWidth="1" min="6" max="6"/>
    <col width="16" customWidth="1" min="7" max="7"/>
    <col width="12" customWidth="1" min="8" max="8"/>
    <col width="12" customWidth="1" min="9" max="9"/>
    <col width="2" customWidth="1" min="10" max="10"/>
    <col width="11" customWidth="1" min="11" max="11"/>
    <col width="16" customWidth="1" min="12" max="12"/>
    <col width="10" customWidth="1" min="13" max="13"/>
    <col width="10" customWidth="1" min="14" max="14"/>
    <col width="2" customWidth="1" min="15" max="15"/>
    <col width="28" customWidth="1" min="16" max="16"/>
    <col width="13" customWidth="1" min="17" max="17"/>
    <col width="13" customWidth="1" min="18" max="18"/>
    <col width="13" customWidth="1" min="19" max="19"/>
    <col width="13" customWidth="1" min="20" max="20"/>
    <col width="10" customWidth="1" min="21" max="21"/>
    <col width="10" customWidth="1" min="22" max="22"/>
    <col width="10" customWidth="1" min="23" max="23"/>
  </cols>
  <sheetData>
    <row r="1" ht="54" customHeight="1">
      <c r="A1" s="1" t="inlineStr">
        <is>
          <t>🇯🇲  CURVA ABC REGGAE — ABA 01  —  One Love, One Excel! ✌️</t>
        </is>
      </c>
      <c r="J1" s="2" t="inlineStr">
        <is>
          <t>🟢 A = até 80%  |  🟡 B = 80–95%  |  🔴 C = 95–100%</t>
        </is>
      </c>
      <c r="O1" s="3" t="n"/>
    </row>
    <row r="2" ht="8" customHeight="1">
      <c r="A2" s="4" t="n"/>
      <c r="B2" s="3" t="n"/>
      <c r="C2" s="5" t="n"/>
      <c r="D2" s="6" t="n"/>
      <c r="E2" s="4" t="n"/>
      <c r="F2" s="3" t="n"/>
      <c r="G2" s="5" t="n"/>
      <c r="H2" s="6" t="n"/>
      <c r="I2" s="4" t="n"/>
      <c r="J2" s="3" t="n"/>
      <c r="K2" s="5" t="n"/>
      <c r="L2" s="6" t="n"/>
      <c r="M2" s="4" t="n"/>
      <c r="N2" s="3" t="n"/>
    </row>
    <row r="3" ht="24" customHeight="1">
      <c r="A3" s="7" t="inlineStr">
        <is>
          <t>💰 V.T. TOTAL</t>
        </is>
      </c>
      <c r="B3" s="8" t="n"/>
      <c r="C3" s="9" t="inlineStr">
        <is>
          <t>🟢 V.T. CLASSE A</t>
        </is>
      </c>
      <c r="D3" s="8" t="n"/>
      <c r="E3" s="10" t="inlineStr">
        <is>
          <t>🟡 V.T. CLASSE B</t>
        </is>
      </c>
      <c r="F3" s="8" t="n"/>
      <c r="G3" s="9" t="inlineStr">
        <is>
          <t>🔴 MAIOR V.T.</t>
        </is>
      </c>
      <c r="H3" s="8" t="n"/>
      <c r="I3" s="11" t="n"/>
    </row>
    <row r="4" ht="32" customHeight="1">
      <c r="A4" s="12">
        <f>SUM($G$12:$G$31)</f>
        <v/>
      </c>
      <c r="B4" s="13" t="n"/>
      <c r="C4" s="14">
        <f>SUMIF($A$12:$A$31,"A",$G$12:$G$31)</f>
        <v/>
      </c>
      <c r="D4" s="13" t="n"/>
      <c r="E4" s="15">
        <f>SUMIF($A$12:$A$31,"B",$G$12:$G$31)</f>
        <v/>
      </c>
      <c r="F4" s="13" t="n"/>
      <c r="G4" s="16">
        <f>MAX($G$12:$G$31)</f>
        <v/>
      </c>
      <c r="H4" s="13" t="n"/>
      <c r="I4" s="17" t="n"/>
    </row>
    <row r="5" ht="24" customHeight="1">
      <c r="A5" s="18" t="inlineStr">
        <is>
          <t>📦 TOTAL DE ITENS</t>
        </is>
      </c>
      <c r="B5" s="13" t="n"/>
      <c r="C5" s="19" t="inlineStr">
        <is>
          <t>% ITENS CLASSE A</t>
        </is>
      </c>
      <c r="D5" s="13" t="n"/>
      <c r="E5" s="19" t="inlineStr">
        <is>
          <t>🔴 V.T. CLASSE C</t>
        </is>
      </c>
      <c r="F5" s="13" t="n"/>
      <c r="G5" s="19" t="inlineStr">
        <is>
          <t>✅ STATUS</t>
        </is>
      </c>
      <c r="H5" s="13" t="n"/>
      <c r="I5" s="17" t="n"/>
    </row>
    <row r="6" ht="32" customHeight="1">
      <c r="A6" s="20">
        <f>COUNTA($D$12:$D$31)</f>
        <v/>
      </c>
      <c r="B6" s="21" t="n"/>
      <c r="C6" s="22">
        <f>IFERROR(COUNTIF($A$12:$A$31,"A")/COUNTA($D$12:$D$31),0)</f>
        <v/>
      </c>
      <c r="D6" s="21" t="n"/>
      <c r="E6" s="23">
        <f>SUMIF($A$12:$A$31,"C",$G$12:$G$31)</f>
        <v/>
      </c>
      <c r="F6" s="21" t="n"/>
      <c r="G6" s="24">
        <f>IF(IFERROR(MAX($I$12:$I$31),0)&gt;1.001,"⚠️ VERIFICAR","✅ OK")</f>
        <v/>
      </c>
      <c r="H6" s="21" t="n"/>
      <c r="I6" s="25" t="n"/>
    </row>
    <row r="7" ht="8" customHeight="1">
      <c r="A7" s="5" t="n"/>
      <c r="B7" s="3" t="n"/>
      <c r="C7" s="4" t="n"/>
      <c r="D7" s="6" t="n"/>
      <c r="E7" s="5" t="n"/>
      <c r="F7" s="3" t="n"/>
      <c r="G7" s="4" t="n"/>
      <c r="H7" s="6" t="n"/>
      <c r="I7" s="5" t="n"/>
      <c r="J7" s="3" t="n"/>
      <c r="K7" s="4" t="n"/>
      <c r="L7" s="6" t="n"/>
      <c r="M7" s="5" t="n"/>
      <c r="N7" s="3" t="n"/>
    </row>
    <row r="8" ht="20" customHeight="1">
      <c r="A8" s="26" t="inlineStr">
        <is>
          <t xml:space="preserve">  ✏️  Edite somente: Qtd. (col E) e Custo Unit. (col F)  |  Limite A → célula B9  |  Limite B → célula B10  |  As fórmulas V.T., % e ABC recalculam automaticamente</t>
        </is>
      </c>
      <c r="K8" s="27" t="inlineStr">
        <is>
          <t>RESUMO POR CLASSE</t>
        </is>
      </c>
      <c r="L8" s="28" t="n"/>
      <c r="M8" s="28" t="n"/>
      <c r="N8" s="28" t="n"/>
    </row>
    <row r="9" ht="24" customHeight="1">
      <c r="A9" s="29" t="inlineStr">
        <is>
          <t>Limite A (Classe A):</t>
        </is>
      </c>
      <c r="B9" s="30" t="n">
        <v>0.8</v>
      </c>
      <c r="K9" s="31" t="inlineStr">
        <is>
          <t>A</t>
        </is>
      </c>
      <c r="L9" s="32">
        <f>SUMIF($A$12:$A$31,"A",$G$12:$G$31)</f>
        <v/>
      </c>
      <c r="M9" s="33">
        <f>IFERROR(L9/SUM($G$12:$G$31),0)</f>
        <v/>
      </c>
      <c r="N9" s="34">
        <f>COUNTIF($A$12:$A$31,"A")</f>
        <v/>
      </c>
    </row>
    <row r="10" ht="24" customHeight="1">
      <c r="A10" s="29" t="inlineStr">
        <is>
          <t>Limite B (Classe B):</t>
        </is>
      </c>
      <c r="B10" s="35" t="n">
        <v>0.95</v>
      </c>
      <c r="K10" s="36" t="inlineStr">
        <is>
          <t>B</t>
        </is>
      </c>
      <c r="L10" s="37">
        <f>SUMIF($A$12:$A$31,"B",$G$12:$G$31)</f>
        <v/>
      </c>
      <c r="M10" s="38">
        <f>IFERROR(L10/SUM($G$12:$G$31),0)</f>
        <v/>
      </c>
      <c r="N10" s="39">
        <f>COUNTIF($A$12:$A$31,"B")</f>
        <v/>
      </c>
    </row>
    <row r="11" ht="26" customHeight="1">
      <c r="A11" s="40" t="inlineStr">
        <is>
          <t>ABC</t>
        </is>
      </c>
      <c r="B11" s="41" t="inlineStr">
        <is>
          <t>SKU</t>
        </is>
      </c>
      <c r="C11" s="41" t="inlineStr">
        <is>
          <t>Cod.</t>
        </is>
      </c>
      <c r="D11" s="42" t="inlineStr">
        <is>
          <t>Descrição do Produto</t>
        </is>
      </c>
      <c r="E11" s="43" t="inlineStr">
        <is>
          <t>Qtd.</t>
        </is>
      </c>
      <c r="F11" s="43" t="inlineStr">
        <is>
          <t>Custo Unit.(R$)</t>
        </is>
      </c>
      <c r="G11" s="40" t="inlineStr">
        <is>
          <t>V.T. (R$)</t>
        </is>
      </c>
      <c r="H11" s="41" t="inlineStr">
        <is>
          <t>% Individual</t>
        </is>
      </c>
      <c r="I11" s="41" t="inlineStr">
        <is>
          <t>% Acumulado</t>
        </is>
      </c>
      <c r="K11" s="44" t="inlineStr">
        <is>
          <t>C</t>
        </is>
      </c>
      <c r="L11" s="45">
        <f>SUMIF($A$12:$A$31,"C",$G$12:$G$31)</f>
        <v/>
      </c>
      <c r="M11" s="46">
        <f>IFERROR(L11/SUM($G$12:$G$31),0)</f>
        <v/>
      </c>
      <c r="N11" s="47">
        <f>COUNTIF($A$12:$A$31,"C")</f>
        <v/>
      </c>
      <c r="P11" s="48" t="inlineStr">
        <is>
          <t>Rótulo X</t>
        </is>
      </c>
      <c r="Q11" s="48" t="inlineStr">
        <is>
          <t>%IndA</t>
        </is>
      </c>
      <c r="R11" s="48" t="inlineStr">
        <is>
          <t>%IndB</t>
        </is>
      </c>
      <c r="S11" s="48" t="inlineStr">
        <is>
          <t>%IndC</t>
        </is>
      </c>
      <c r="T11" s="48" t="inlineStr">
        <is>
          <t>%Acum.</t>
        </is>
      </c>
      <c r="U11" s="48" t="inlineStr">
        <is>
          <t>ZonaA</t>
        </is>
      </c>
      <c r="V11" s="48" t="inlineStr">
        <is>
          <t>ZonaB</t>
        </is>
      </c>
      <c r="W11" s="48" t="inlineStr">
        <is>
          <t>ZonaC</t>
        </is>
      </c>
    </row>
    <row r="12" ht="18" customHeight="1">
      <c r="A12" s="49">
        <f>IF($I12&lt;=$B$9,"A",IF($I12&lt;=$B$10,"B","C"))</f>
        <v/>
      </c>
      <c r="B12" s="50" t="inlineStr">
        <is>
          <t>SKU01</t>
        </is>
      </c>
      <c r="C12" s="50" t="n">
        <v>10</v>
      </c>
      <c r="D12" s="51" t="inlineStr">
        <is>
          <t>Notebook Executivo i7</t>
        </is>
      </c>
      <c r="E12" s="52" t="n">
        <v>35</v>
      </c>
      <c r="F12" s="53" t="n">
        <v>6500</v>
      </c>
      <c r="G12" s="54">
        <f>IFERROR(E12*F12,0)</f>
        <v/>
      </c>
      <c r="H12" s="55">
        <f>IFERROR(G12/SUM($G$12:$G$31),0)</f>
        <v/>
      </c>
      <c r="I12" s="55">
        <f>IFERROR(SUMIF($G$12:$G$31,"&gt;="&amp;G12,$G$12:$G$31)/SUM($G$12:$G$31),0)</f>
        <v/>
      </c>
      <c r="P12" s="56" t="inlineStr">
        <is>
          <t>A — SKU01 — Notebook Executivo i</t>
        </is>
      </c>
      <c r="Q12" s="57" t="n">
        <v>0.35308</v>
      </c>
      <c r="R12" s="58" t="n">
        <v>0</v>
      </c>
      <c r="S12" s="59" t="n">
        <v>0</v>
      </c>
      <c r="T12" s="60" t="n">
        <v>0.35308</v>
      </c>
      <c r="U12" s="61" t="n">
        <v>1</v>
      </c>
      <c r="V12" s="62" t="n">
        <v>0</v>
      </c>
      <c r="W12" s="63" t="n">
        <v>0</v>
      </c>
    </row>
    <row r="13" ht="18" customHeight="1">
      <c r="A13" s="49">
        <f>IF($I13&lt;=$B$9,"A",IF($I13&lt;=$B$10,"B","C"))</f>
        <v/>
      </c>
      <c r="B13" s="50" t="inlineStr">
        <is>
          <t>SKU02</t>
        </is>
      </c>
      <c r="C13" s="50" t="n">
        <v>2</v>
      </c>
      <c r="D13" s="51" t="inlineStr">
        <is>
          <t>Servidor de Dados Pro</t>
        </is>
      </c>
      <c r="E13" s="52" t="n">
        <v>12</v>
      </c>
      <c r="F13" s="53" t="n">
        <v>15000</v>
      </c>
      <c r="G13" s="54">
        <f>IFERROR(E13*F13,0)</f>
        <v/>
      </c>
      <c r="H13" s="55">
        <f>IFERROR(G13/SUM($G$12:$G$31),0)</f>
        <v/>
      </c>
      <c r="I13" s="55">
        <f>IFERROR(SUMIF($G$12:$G$31,"&gt;="&amp;G13,$G$12:$G$31)/SUM($G$12:$G$31),0)</f>
        <v/>
      </c>
      <c r="P13" s="56" t="inlineStr">
        <is>
          <t>A — SKU02 — Servidor de Dados Pr</t>
        </is>
      </c>
      <c r="Q13" s="57" t="n">
        <v>0.27936</v>
      </c>
      <c r="R13" s="58" t="n">
        <v>0</v>
      </c>
      <c r="S13" s="59" t="n">
        <v>0</v>
      </c>
      <c r="T13" s="60" t="n">
        <v>0.63243</v>
      </c>
      <c r="U13" s="61" t="n">
        <v>1</v>
      </c>
      <c r="V13" s="62" t="n">
        <v>0</v>
      </c>
      <c r="W13" s="63" t="n">
        <v>0</v>
      </c>
    </row>
    <row r="14" ht="18" customHeight="1">
      <c r="A14" s="49">
        <f>IF($I14&lt;=$B$9,"A",IF($I14&lt;=$B$10,"B","C"))</f>
        <v/>
      </c>
      <c r="B14" s="50" t="inlineStr">
        <is>
          <t>SKU03</t>
        </is>
      </c>
      <c r="C14" s="50" t="n">
        <v>17</v>
      </c>
      <c r="D14" s="51" t="inlineStr">
        <is>
          <t>Impressora Multifuncional</t>
        </is>
      </c>
      <c r="E14" s="52" t="n">
        <v>55</v>
      </c>
      <c r="F14" s="53" t="n">
        <v>1100</v>
      </c>
      <c r="G14" s="54">
        <f>IFERROR(E14*F14,0)</f>
        <v/>
      </c>
      <c r="H14" s="55">
        <f>IFERROR(G14/SUM($G$12:$G$31),0)</f>
        <v/>
      </c>
      <c r="I14" s="55">
        <f>IFERROR(SUMIF($G$12:$G$31,"&gt;="&amp;G14,$G$12:$G$31)/SUM($G$12:$G$31),0)</f>
        <v/>
      </c>
      <c r="P14" s="56" t="inlineStr">
        <is>
          <t>A — SKU03 — Impressora Multifunc</t>
        </is>
      </c>
      <c r="Q14" s="57" t="n">
        <v>0.0939</v>
      </c>
      <c r="R14" s="58" t="n">
        <v>0</v>
      </c>
      <c r="S14" s="59" t="n">
        <v>0</v>
      </c>
      <c r="T14" s="60" t="n">
        <v>0.72633</v>
      </c>
      <c r="U14" s="61" t="n">
        <v>1</v>
      </c>
      <c r="V14" s="62" t="n">
        <v>0</v>
      </c>
      <c r="W14" s="63" t="n">
        <v>0</v>
      </c>
    </row>
    <row r="15" ht="18" customHeight="1">
      <c r="A15" s="49">
        <f>IF($I15&lt;=$B$9,"A",IF($I15&lt;=$B$10,"B","C"))</f>
        <v/>
      </c>
      <c r="B15" s="50" t="inlineStr">
        <is>
          <t>SKU04</t>
        </is>
      </c>
      <c r="C15" s="50" t="n">
        <v>12</v>
      </c>
      <c r="D15" s="51" t="inlineStr">
        <is>
          <t>Toner Impressora Laser</t>
        </is>
      </c>
      <c r="E15" s="52" t="n">
        <v>68</v>
      </c>
      <c r="F15" s="53" t="n">
        <v>680</v>
      </c>
      <c r="G15" s="54">
        <f>IFERROR(E15*F15,0)</f>
        <v/>
      </c>
      <c r="H15" s="55">
        <f>IFERROR(G15/SUM($G$12:$G$31),0)</f>
        <v/>
      </c>
      <c r="I15" s="55">
        <f>IFERROR(SUMIF($G$12:$G$31,"&gt;="&amp;G15,$G$12:$G$31)/SUM($G$12:$G$31),0)</f>
        <v/>
      </c>
      <c r="P15" s="56" t="inlineStr">
        <is>
          <t>A — SKU04 — Toner Impressora Las</t>
        </is>
      </c>
      <c r="Q15" s="57" t="n">
        <v>0.07176</v>
      </c>
      <c r="R15" s="58" t="n">
        <v>0</v>
      </c>
      <c r="S15" s="59" t="n">
        <v>0</v>
      </c>
      <c r="T15" s="60" t="n">
        <v>0.79809</v>
      </c>
      <c r="U15" s="61" t="n">
        <v>1</v>
      </c>
      <c r="V15" s="62" t="n">
        <v>0</v>
      </c>
      <c r="W15" s="63" t="n">
        <v>0</v>
      </c>
    </row>
    <row r="16" ht="18" customHeight="1">
      <c r="A16" s="64">
        <f>IF($I16&lt;=$B$9,"A",IF($I16&lt;=$B$10,"B","C"))</f>
        <v/>
      </c>
      <c r="B16" s="65" t="inlineStr">
        <is>
          <t>SKU05</t>
        </is>
      </c>
      <c r="C16" s="65" t="n">
        <v>19</v>
      </c>
      <c r="D16" s="66" t="inlineStr">
        <is>
          <t>Memoria RAM 16GB</t>
        </is>
      </c>
      <c r="E16" s="52" t="n">
        <v>45</v>
      </c>
      <c r="F16" s="53" t="n">
        <v>380</v>
      </c>
      <c r="G16" s="67">
        <f>IFERROR(E16*F16,0)</f>
        <v/>
      </c>
      <c r="H16" s="68">
        <f>IFERROR(G16/SUM($G$12:$G$31),0)</f>
        <v/>
      </c>
      <c r="I16" s="68">
        <f>IFERROR(SUMIF($G$12:$G$31,"&gt;="&amp;G16,$G$12:$G$31)/SUM($G$12:$G$31),0)</f>
        <v/>
      </c>
      <c r="P16" s="56" t="inlineStr">
        <is>
          <t>B — SKU05 — Memoria RAM 16GB</t>
        </is>
      </c>
      <c r="Q16" s="57" t="n">
        <v>0</v>
      </c>
      <c r="R16" s="58" t="n">
        <v>0.02654</v>
      </c>
      <c r="S16" s="59" t="n">
        <v>0</v>
      </c>
      <c r="T16" s="60" t="n">
        <v>0.82463</v>
      </c>
      <c r="U16" s="61" t="n">
        <v>0</v>
      </c>
      <c r="V16" s="62" t="n">
        <v>1</v>
      </c>
      <c r="W16" s="63" t="n">
        <v>0</v>
      </c>
    </row>
    <row r="17" ht="18" customHeight="1">
      <c r="A17" s="64">
        <f>IF($I17&lt;=$B$9,"A",IF($I17&lt;=$B$10,"B","C"))</f>
        <v/>
      </c>
      <c r="B17" s="65" t="inlineStr">
        <is>
          <t>SKU06</t>
        </is>
      </c>
      <c r="C17" s="65" t="n">
        <v>4</v>
      </c>
      <c r="D17" s="66" t="inlineStr">
        <is>
          <t>Monitor LED 24"</t>
        </is>
      </c>
      <c r="E17" s="52" t="n">
        <v>20</v>
      </c>
      <c r="F17" s="53" t="n">
        <v>850</v>
      </c>
      <c r="G17" s="67">
        <f>IFERROR(E17*F17,0)</f>
        <v/>
      </c>
      <c r="H17" s="68">
        <f>IFERROR(G17/SUM($G$12:$G$31),0)</f>
        <v/>
      </c>
      <c r="I17" s="68">
        <f>IFERROR(SUMIF($G$12:$G$31,"&gt;="&amp;G17,$G$12:$G$31)/SUM($G$12:$G$31),0)</f>
        <v/>
      </c>
      <c r="P17" s="56" t="inlineStr">
        <is>
          <t>B — SKU06 — Monitor LED 24"</t>
        </is>
      </c>
      <c r="Q17" s="57" t="n">
        <v>0</v>
      </c>
      <c r="R17" s="58" t="n">
        <v>0.02638</v>
      </c>
      <c r="S17" s="59" t="n">
        <v>0</v>
      </c>
      <c r="T17" s="60" t="n">
        <v>0.85102</v>
      </c>
      <c r="U17" s="61" t="n">
        <v>0</v>
      </c>
      <c r="V17" s="62" t="n">
        <v>1</v>
      </c>
      <c r="W17" s="63" t="n">
        <v>0</v>
      </c>
    </row>
    <row r="18" ht="18" customHeight="1">
      <c r="A18" s="64">
        <f>IF($I18&lt;=$B$9,"A",IF($I18&lt;=$B$10,"B","C"))</f>
        <v/>
      </c>
      <c r="B18" s="65" t="inlineStr">
        <is>
          <t>SKU07</t>
        </is>
      </c>
      <c r="C18" s="65" t="n">
        <v>14</v>
      </c>
      <c r="D18" s="66" t="inlineStr">
        <is>
          <t>Webcam Full HD</t>
        </is>
      </c>
      <c r="E18" s="52" t="n">
        <v>82</v>
      </c>
      <c r="F18" s="53" t="n">
        <v>180</v>
      </c>
      <c r="G18" s="67">
        <f>IFERROR(E18*F18,0)</f>
        <v/>
      </c>
      <c r="H18" s="68">
        <f>IFERROR(G18/SUM($G$12:$G$31),0)</f>
        <v/>
      </c>
      <c r="I18" s="68">
        <f>IFERROR(SUMIF($G$12:$G$31,"&gt;="&amp;G18,$G$12:$G$31)/SUM($G$12:$G$31),0)</f>
        <v/>
      </c>
      <c r="P18" s="56" t="inlineStr">
        <is>
          <t>B — SKU07 — Webcam Full HD</t>
        </is>
      </c>
      <c r="Q18" s="57" t="n">
        <v>0</v>
      </c>
      <c r="R18" s="58" t="n">
        <v>0.02291</v>
      </c>
      <c r="S18" s="59" t="n">
        <v>0</v>
      </c>
      <c r="T18" s="60" t="n">
        <v>0.87392</v>
      </c>
      <c r="U18" s="61" t="n">
        <v>0</v>
      </c>
      <c r="V18" s="62" t="n">
        <v>1</v>
      </c>
      <c r="W18" s="63" t="n">
        <v>0</v>
      </c>
    </row>
    <row r="19" ht="18" customHeight="1">
      <c r="A19" s="64">
        <f>IF($I19&lt;=$B$9,"A",IF($I19&lt;=$B$10,"B","C"))</f>
        <v/>
      </c>
      <c r="B19" s="65" t="inlineStr">
        <is>
          <t>SKU08</t>
        </is>
      </c>
      <c r="C19" s="65" t="n">
        <v>11</v>
      </c>
      <c r="D19" s="66" t="inlineStr">
        <is>
          <t>Roteador Wi-Fi 6</t>
        </is>
      </c>
      <c r="E19" s="52" t="n">
        <v>15</v>
      </c>
      <c r="F19" s="53" t="n">
        <v>650</v>
      </c>
      <c r="G19" s="67">
        <f>IFERROR(E19*F19,0)</f>
        <v/>
      </c>
      <c r="H19" s="68">
        <f>IFERROR(G19/SUM($G$12:$G$31),0)</f>
        <v/>
      </c>
      <c r="I19" s="68">
        <f>IFERROR(SUMIF($G$12:$G$31,"&gt;="&amp;G19,$G$12:$G$31)/SUM($G$12:$G$31),0)</f>
        <v/>
      </c>
      <c r="P19" s="56" t="inlineStr">
        <is>
          <t>B — SKU09 — SSD 480GB Sata</t>
        </is>
      </c>
      <c r="Q19" s="57" t="n">
        <v>0</v>
      </c>
      <c r="R19" s="58" t="n">
        <v>0.01622</v>
      </c>
      <c r="S19" s="59" t="n">
        <v>0</v>
      </c>
      <c r="T19" s="60" t="n">
        <v>0.89014</v>
      </c>
      <c r="U19" s="61" t="n">
        <v>0</v>
      </c>
      <c r="V19" s="62" t="n">
        <v>1</v>
      </c>
      <c r="W19" s="63" t="n">
        <v>0</v>
      </c>
    </row>
    <row r="20" ht="18" customHeight="1">
      <c r="A20" s="64">
        <f>IF($I20&lt;=$B$9,"A",IF($I20&lt;=$B$10,"B","C"))</f>
        <v/>
      </c>
      <c r="B20" s="65" t="inlineStr">
        <is>
          <t>SKU09</t>
        </is>
      </c>
      <c r="C20" s="65" t="n">
        <v>15</v>
      </c>
      <c r="D20" s="66" t="inlineStr">
        <is>
          <t>SSD 480GB Sata</t>
        </is>
      </c>
      <c r="E20" s="52" t="n">
        <v>55</v>
      </c>
      <c r="F20" s="53" t="n">
        <v>190</v>
      </c>
      <c r="G20" s="67">
        <f>IFERROR(E20*F20,0)</f>
        <v/>
      </c>
      <c r="H20" s="68">
        <f>IFERROR(G20/SUM($G$12:$G$31),0)</f>
        <v/>
      </c>
      <c r="I20" s="68">
        <f>IFERROR(SUMIF($G$12:$G$31,"&gt;="&amp;G20,$G$12:$G$31)/SUM($G$12:$G$31),0)</f>
        <v/>
      </c>
      <c r="P20" s="56" t="inlineStr">
        <is>
          <t>B — SKU08 — Roteador Wi-Fi 6</t>
        </is>
      </c>
      <c r="Q20" s="57" t="n">
        <v>0</v>
      </c>
      <c r="R20" s="58" t="n">
        <v>0.01513</v>
      </c>
      <c r="S20" s="59" t="n">
        <v>0</v>
      </c>
      <c r="T20" s="60" t="n">
        <v>0.90527</v>
      </c>
      <c r="U20" s="61" t="n">
        <v>0</v>
      </c>
      <c r="V20" s="62" t="n">
        <v>1</v>
      </c>
      <c r="W20" s="63" t="n">
        <v>0</v>
      </c>
    </row>
    <row r="21" ht="18" customHeight="1">
      <c r="A21" s="64">
        <f>IF($I21&lt;=$B$9,"A",IF($I21&lt;=$B$10,"B","C"))</f>
        <v/>
      </c>
      <c r="B21" s="65" t="inlineStr">
        <is>
          <t>SKU10</t>
        </is>
      </c>
      <c r="C21" s="65" t="n">
        <v>6</v>
      </c>
      <c r="D21" s="66" t="inlineStr">
        <is>
          <t>Nobreak 1500VA</t>
        </is>
      </c>
      <c r="E21" s="52" t="n">
        <v>8</v>
      </c>
      <c r="F21" s="53" t="n">
        <v>1200</v>
      </c>
      <c r="G21" s="67">
        <f>IFERROR(E21*F21,0)</f>
        <v/>
      </c>
      <c r="H21" s="68">
        <f>IFERROR(G21/SUM($G$12:$G$31),0)</f>
        <v/>
      </c>
      <c r="I21" s="68">
        <f>IFERROR(SUMIF($G$12:$G$31,"&gt;="&amp;G21,$G$12:$G$31)/SUM($G$12:$G$31),0)</f>
        <v/>
      </c>
      <c r="P21" s="56" t="inlineStr">
        <is>
          <t>B — SKU10 — Nobreak 1500VA</t>
        </is>
      </c>
      <c r="Q21" s="57" t="n">
        <v>0</v>
      </c>
      <c r="R21" s="58" t="n">
        <v>0.0149</v>
      </c>
      <c r="S21" s="59" t="n">
        <v>0</v>
      </c>
      <c r="T21" s="60" t="n">
        <v>0.92017</v>
      </c>
      <c r="U21" s="61" t="n">
        <v>0</v>
      </c>
      <c r="V21" s="62" t="n">
        <v>1</v>
      </c>
      <c r="W21" s="63" t="n">
        <v>0</v>
      </c>
    </row>
    <row r="22" ht="18" customHeight="1">
      <c r="A22" s="64">
        <f>IF($I22&lt;=$B$9,"A",IF($I22&lt;=$B$10,"B","C"))</f>
        <v/>
      </c>
      <c r="B22" s="65" t="inlineStr">
        <is>
          <t>SKU11</t>
        </is>
      </c>
      <c r="C22" s="65" t="n">
        <v>20</v>
      </c>
      <c r="D22" s="66" t="inlineStr">
        <is>
          <t>HD Externo 2TB</t>
        </is>
      </c>
      <c r="E22" s="52" t="n">
        <v>18</v>
      </c>
      <c r="F22" s="53" t="n">
        <v>420</v>
      </c>
      <c r="G22" s="67">
        <f>IFERROR(E22*F22,0)</f>
        <v/>
      </c>
      <c r="H22" s="68">
        <f>IFERROR(G22/SUM($G$12:$G$31),0)</f>
        <v/>
      </c>
      <c r="I22" s="68">
        <f>IFERROR(SUMIF($G$12:$G$31,"&gt;="&amp;G22,$G$12:$G$31)/SUM($G$12:$G$31),0)</f>
        <v/>
      </c>
      <c r="P22" s="56" t="inlineStr">
        <is>
          <t>B — SKU11 — HD Externo 2TB</t>
        </is>
      </c>
      <c r="Q22" s="57" t="n">
        <v>0</v>
      </c>
      <c r="R22" s="58" t="n">
        <v>0.01173</v>
      </c>
      <c r="S22" s="59" t="n">
        <v>0</v>
      </c>
      <c r="T22" s="60" t="n">
        <v>0.93191</v>
      </c>
      <c r="U22" s="61" t="n">
        <v>0</v>
      </c>
      <c r="V22" s="62" t="n">
        <v>1</v>
      </c>
      <c r="W22" s="63" t="n">
        <v>0</v>
      </c>
    </row>
    <row r="23" ht="18" customHeight="1">
      <c r="A23" s="64">
        <f>IF($I23&lt;=$B$9,"A",IF($I23&lt;=$B$10,"B","C"))</f>
        <v/>
      </c>
      <c r="B23" s="65" t="inlineStr">
        <is>
          <t>SKU12</t>
        </is>
      </c>
      <c r="C23" s="65" t="n">
        <v>5</v>
      </c>
      <c r="D23" s="66" t="inlineStr">
        <is>
          <t>Teclado Mecanico RGB</t>
        </is>
      </c>
      <c r="E23" s="52" t="n">
        <v>30</v>
      </c>
      <c r="F23" s="53" t="n">
        <v>250</v>
      </c>
      <c r="G23" s="67">
        <f>IFERROR(E23*F23,0)</f>
        <v/>
      </c>
      <c r="H23" s="68">
        <f>IFERROR(G23/SUM($G$12:$G$31),0)</f>
        <v/>
      </c>
      <c r="I23" s="68">
        <f>IFERROR(SUMIF($G$12:$G$31,"&gt;="&amp;G23,$G$12:$G$31)/SUM($G$12:$G$31),0)</f>
        <v/>
      </c>
      <c r="P23" s="56" t="inlineStr">
        <is>
          <t>B — SKU12 — Teclado Mecanico RGB</t>
        </is>
      </c>
      <c r="Q23" s="57" t="n">
        <v>0</v>
      </c>
      <c r="R23" s="58" t="n">
        <v>0.01164</v>
      </c>
      <c r="S23" s="59" t="n">
        <v>0</v>
      </c>
      <c r="T23" s="60" t="n">
        <v>0.94354</v>
      </c>
      <c r="U23" s="61" t="n">
        <v>0</v>
      </c>
      <c r="V23" s="62" t="n">
        <v>1</v>
      </c>
      <c r="W23" s="63" t="n">
        <v>0</v>
      </c>
    </row>
    <row r="24" ht="18" customHeight="1">
      <c r="A24" s="69">
        <f>IF($I24&lt;=$B$9,"A",IF($I24&lt;=$B$10,"B","C"))</f>
        <v/>
      </c>
      <c r="B24" s="70" t="inlineStr">
        <is>
          <t>SKU13</t>
        </is>
      </c>
      <c r="C24" s="70" t="n">
        <v>9</v>
      </c>
      <c r="D24" s="71" t="inlineStr">
        <is>
          <t>Pen Drive 64GB</t>
        </is>
      </c>
      <c r="E24" s="52" t="n">
        <v>160</v>
      </c>
      <c r="F24" s="53" t="n">
        <v>45</v>
      </c>
      <c r="G24" s="72">
        <f>IFERROR(E24*F24,0)</f>
        <v/>
      </c>
      <c r="H24" s="73">
        <f>IFERROR(G24/SUM($G$12:$G$31),0)</f>
        <v/>
      </c>
      <c r="I24" s="73">
        <f>IFERROR(SUMIF($G$12:$G$31,"&gt;="&amp;G24,$G$12:$G$31)/SUM($G$12:$G$31),0)</f>
        <v/>
      </c>
      <c r="P24" s="56" t="inlineStr">
        <is>
          <t>C — SKU13 — Pen Drive 64GB</t>
        </is>
      </c>
      <c r="Q24" s="57" t="n">
        <v>0</v>
      </c>
      <c r="R24" s="58" t="n">
        <v>0</v>
      </c>
      <c r="S24" s="59" t="n">
        <v>0.01117</v>
      </c>
      <c r="T24" s="60" t="n">
        <v>0.95472</v>
      </c>
      <c r="U24" s="61" t="n">
        <v>0</v>
      </c>
      <c r="V24" s="62" t="n">
        <v>0</v>
      </c>
      <c r="W24" s="63" t="n">
        <v>1</v>
      </c>
    </row>
    <row r="25" ht="18" customHeight="1">
      <c r="A25" s="69">
        <f>IF($I25&lt;=$B$9,"A",IF($I25&lt;=$B$10,"B","C"))</f>
        <v/>
      </c>
      <c r="B25" s="70" t="inlineStr">
        <is>
          <t>SKU14</t>
        </is>
      </c>
      <c r="C25" s="70" t="n">
        <v>13</v>
      </c>
      <c r="D25" s="71" t="inlineStr">
        <is>
          <t>Headset com Microfone</t>
        </is>
      </c>
      <c r="E25" s="52" t="n">
        <v>64</v>
      </c>
      <c r="F25" s="53" t="n">
        <v>110</v>
      </c>
      <c r="G25" s="72">
        <f>IFERROR(E25*F25,0)</f>
        <v/>
      </c>
      <c r="H25" s="73">
        <f>IFERROR(G25/SUM($G$12:$G$31),0)</f>
        <v/>
      </c>
      <c r="I25" s="73">
        <f>IFERROR(SUMIF($G$12:$G$31,"&gt;="&amp;G25,$G$12:$G$31)/SUM($G$12:$G$31),0)</f>
        <v/>
      </c>
      <c r="P25" s="56" t="inlineStr">
        <is>
          <t>C — SKU14 — Headset com Microfon</t>
        </is>
      </c>
      <c r="Q25" s="57" t="n">
        <v>0</v>
      </c>
      <c r="R25" s="58" t="n">
        <v>0</v>
      </c>
      <c r="S25" s="59" t="n">
        <v>0.01093</v>
      </c>
      <c r="T25" s="60" t="n">
        <v>0.96565</v>
      </c>
      <c r="U25" s="61" t="n">
        <v>0</v>
      </c>
      <c r="V25" s="62" t="n">
        <v>0</v>
      </c>
      <c r="W25" s="63" t="n">
        <v>1</v>
      </c>
    </row>
    <row r="26" ht="18" customHeight="1">
      <c r="A26" s="69">
        <f>IF($I26&lt;=$B$9,"A",IF($I26&lt;=$B$10,"B","C"))</f>
        <v/>
      </c>
      <c r="B26" s="70" t="inlineStr">
        <is>
          <t>SKU15</t>
        </is>
      </c>
      <c r="C26" s="70" t="n">
        <v>7</v>
      </c>
      <c r="D26" s="71" t="inlineStr">
        <is>
          <t>Pacote de Papel A4</t>
        </is>
      </c>
      <c r="E26" s="52" t="n">
        <v>237</v>
      </c>
      <c r="F26" s="53" t="n">
        <v>28</v>
      </c>
      <c r="G26" s="72">
        <f>IFERROR(E26*F26,0)</f>
        <v/>
      </c>
      <c r="H26" s="73">
        <f>IFERROR(G26/SUM($G$12:$G$31),0)</f>
        <v/>
      </c>
      <c r="I26" s="73">
        <f>IFERROR(SUMIF($G$12:$G$31,"&gt;="&amp;G26,$G$12:$G$31)/SUM($G$12:$G$31),0)</f>
        <v/>
      </c>
      <c r="P26" s="56" t="inlineStr">
        <is>
          <t>C — SKU15 — Pacote de Papel A4</t>
        </is>
      </c>
      <c r="Q26" s="57" t="n">
        <v>0</v>
      </c>
      <c r="R26" s="58" t="n">
        <v>0</v>
      </c>
      <c r="S26" s="59" t="n">
        <v>0.0103</v>
      </c>
      <c r="T26" s="60" t="n">
        <v>0.97594</v>
      </c>
      <c r="U26" s="61" t="n">
        <v>0</v>
      </c>
      <c r="V26" s="62" t="n">
        <v>0</v>
      </c>
      <c r="W26" s="63" t="n">
        <v>1</v>
      </c>
    </row>
    <row r="27" ht="18" customHeight="1">
      <c r="A27" s="69">
        <f>IF($I27&lt;=$B$9,"A",IF($I27&lt;=$B$10,"B","C"))</f>
        <v/>
      </c>
      <c r="B27" s="70" t="inlineStr">
        <is>
          <t>SKU16</t>
        </is>
      </c>
      <c r="C27" s="70" t="n">
        <v>18</v>
      </c>
      <c r="D27" s="71" t="inlineStr">
        <is>
          <t>Filtro de Linha 5 Tom.</t>
        </is>
      </c>
      <c r="E27" s="52" t="n">
        <v>110</v>
      </c>
      <c r="F27" s="53" t="n">
        <v>40</v>
      </c>
      <c r="G27" s="72">
        <f>IFERROR(E27*F27,0)</f>
        <v/>
      </c>
      <c r="H27" s="73">
        <f>IFERROR(G27/SUM($G$12:$G$31),0)</f>
        <v/>
      </c>
      <c r="I27" s="73">
        <f>IFERROR(SUMIF($G$12:$G$31,"&gt;="&amp;G27,$G$12:$G$31)/SUM($G$12:$G$31),0)</f>
        <v/>
      </c>
      <c r="P27" s="56" t="inlineStr">
        <is>
          <t>C — SKU16 — Filtro de Linha 5 To</t>
        </is>
      </c>
      <c r="Q27" s="57" t="n">
        <v>0</v>
      </c>
      <c r="R27" s="58" t="n">
        <v>0</v>
      </c>
      <c r="S27" s="59" t="n">
        <v>0.00683</v>
      </c>
      <c r="T27" s="60" t="n">
        <v>0.98277</v>
      </c>
      <c r="U27" s="61" t="n">
        <v>0</v>
      </c>
      <c r="V27" s="62" t="n">
        <v>0</v>
      </c>
      <c r="W27" s="63" t="n">
        <v>1</v>
      </c>
    </row>
    <row r="28" ht="18" customHeight="1">
      <c r="A28" s="69">
        <f>IF($I28&lt;=$B$9,"A",IF($I28&lt;=$B$10,"B","C"))</f>
        <v/>
      </c>
      <c r="B28" s="70" t="inlineStr">
        <is>
          <t>SKU17</t>
        </is>
      </c>
      <c r="C28" s="70" t="n">
        <v>1</v>
      </c>
      <c r="D28" s="71" t="inlineStr">
        <is>
          <t>Cabo HDMI 2m</t>
        </is>
      </c>
      <c r="E28" s="52" t="n">
        <v>150</v>
      </c>
      <c r="F28" s="53" t="n">
        <v>25</v>
      </c>
      <c r="G28" s="72">
        <f>IFERROR(E28*F28,0)</f>
        <v/>
      </c>
      <c r="H28" s="73">
        <f>IFERROR(G28/SUM($G$12:$G$31),0)</f>
        <v/>
      </c>
      <c r="I28" s="73">
        <f>IFERROR(SUMIF($G$12:$G$31,"&gt;="&amp;G28,$G$12:$G$31)/SUM($G$12:$G$31),0)</f>
        <v/>
      </c>
      <c r="P28" s="56" t="inlineStr">
        <is>
          <t>C — SKU17 — Cabo HDMI 2m</t>
        </is>
      </c>
      <c r="Q28" s="57" t="n">
        <v>0</v>
      </c>
      <c r="R28" s="58" t="n">
        <v>0</v>
      </c>
      <c r="S28" s="59" t="n">
        <v>0.00582</v>
      </c>
      <c r="T28" s="60" t="n">
        <v>0.98859</v>
      </c>
      <c r="U28" s="61" t="n">
        <v>0</v>
      </c>
      <c r="V28" s="62" t="n">
        <v>0</v>
      </c>
      <c r="W28" s="63" t="n">
        <v>1</v>
      </c>
    </row>
    <row r="29" ht="18" customHeight="1">
      <c r="A29" s="69">
        <f>IF($I29&lt;=$B$9,"A",IF($I29&lt;=$B$10,"B","C"))</f>
        <v/>
      </c>
      <c r="B29" s="70" t="inlineStr">
        <is>
          <t>SKU18</t>
        </is>
      </c>
      <c r="C29" s="70" t="n">
        <v>16</v>
      </c>
      <c r="D29" s="71" t="inlineStr">
        <is>
          <t>Adaptador USB-C</t>
        </is>
      </c>
      <c r="E29" s="52" t="n">
        <v>90</v>
      </c>
      <c r="F29" s="53" t="n">
        <v>35</v>
      </c>
      <c r="G29" s="72">
        <f>IFERROR(E29*F29,0)</f>
        <v/>
      </c>
      <c r="H29" s="73">
        <f>IFERROR(G29/SUM($G$12:$G$31),0)</f>
        <v/>
      </c>
      <c r="I29" s="73">
        <f>IFERROR(SUMIF($G$12:$G$31,"&gt;="&amp;G29,$G$12:$G$31)/SUM($G$12:$G$31),0)</f>
        <v/>
      </c>
      <c r="P29" s="56" t="inlineStr">
        <is>
          <t>C — SKU18 — Adaptador USB-C</t>
        </is>
      </c>
      <c r="Q29" s="57" t="n">
        <v>0</v>
      </c>
      <c r="R29" s="58" t="n">
        <v>0</v>
      </c>
      <c r="S29" s="59" t="n">
        <v>0.00489</v>
      </c>
      <c r="T29" s="60" t="n">
        <v>0.99348</v>
      </c>
      <c r="U29" s="61" t="n">
        <v>0</v>
      </c>
      <c r="V29" s="62" t="n">
        <v>0</v>
      </c>
      <c r="W29" s="63" t="n">
        <v>1</v>
      </c>
    </row>
    <row r="30" ht="18" customHeight="1">
      <c r="A30" s="69">
        <f>IF($I30&lt;=$B$9,"A",IF($I30&lt;=$B$10,"B","C"))</f>
        <v/>
      </c>
      <c r="B30" s="70" t="inlineStr">
        <is>
          <t>SKU19</t>
        </is>
      </c>
      <c r="C30" s="70" t="n">
        <v>3</v>
      </c>
      <c r="D30" s="71" t="inlineStr">
        <is>
          <t>Mouse Optico Simples</t>
        </is>
      </c>
      <c r="E30" s="52" t="n">
        <v>120</v>
      </c>
      <c r="F30" s="53" t="n">
        <v>15</v>
      </c>
      <c r="G30" s="72">
        <f>IFERROR(E30*F30,0)</f>
        <v/>
      </c>
      <c r="H30" s="73">
        <f>IFERROR(G30/SUM($G$12:$G$31),0)</f>
        <v/>
      </c>
      <c r="I30" s="73">
        <f>IFERROR(SUMIF($G$12:$G$31,"&gt;="&amp;G30,$G$12:$G$31)/SUM($G$12:$G$31),0)</f>
        <v/>
      </c>
      <c r="P30" s="56" t="inlineStr">
        <is>
          <t>C — SKU20 — Patch Cord RJ45 1m</t>
        </is>
      </c>
      <c r="Q30" s="57" t="n">
        <v>0</v>
      </c>
      <c r="R30" s="58" t="n">
        <v>0</v>
      </c>
      <c r="S30" s="59" t="n">
        <v>0.00372</v>
      </c>
      <c r="T30" s="60" t="n">
        <v>0.99721</v>
      </c>
      <c r="U30" s="61" t="n">
        <v>0</v>
      </c>
      <c r="V30" s="62" t="n">
        <v>0</v>
      </c>
      <c r="W30" s="63" t="n">
        <v>1</v>
      </c>
    </row>
    <row r="31" ht="18" customHeight="1">
      <c r="A31" s="69">
        <f>IF($I31&lt;=$B$9,"A",IF($I31&lt;=$B$10,"B","C"))</f>
        <v/>
      </c>
      <c r="B31" s="70" t="inlineStr">
        <is>
          <t>SKU20</t>
        </is>
      </c>
      <c r="C31" s="70" t="n">
        <v>8</v>
      </c>
      <c r="D31" s="71" t="inlineStr">
        <is>
          <t>Patch Cord RJ45 1m</t>
        </is>
      </c>
      <c r="E31" s="52" t="n">
        <v>200</v>
      </c>
      <c r="F31" s="53" t="n">
        <v>12</v>
      </c>
      <c r="G31" s="72">
        <f>IFERROR(E31*F31,0)</f>
        <v/>
      </c>
      <c r="H31" s="73">
        <f>IFERROR(G31/SUM($G$12:$G$31),0)</f>
        <v/>
      </c>
      <c r="I31" s="73">
        <f>IFERROR(SUMIF($G$12:$G$31,"&gt;="&amp;G31,$G$12:$G$31)/SUM($G$12:$G$31),0)</f>
        <v/>
      </c>
      <c r="P31" s="56" t="inlineStr">
        <is>
          <t>C — SKU19 — Mouse Optico Simples</t>
        </is>
      </c>
      <c r="Q31" s="57" t="n">
        <v>0</v>
      </c>
      <c r="R31" s="58" t="n">
        <v>0</v>
      </c>
      <c r="S31" s="59" t="n">
        <v>0.00279</v>
      </c>
      <c r="T31" s="60" t="n">
        <v>1</v>
      </c>
      <c r="U31" s="61" t="n">
        <v>0</v>
      </c>
      <c r="V31" s="62" t="n">
        <v>0</v>
      </c>
      <c r="W31" s="63" t="n">
        <v>1</v>
      </c>
    </row>
    <row r="32" ht="24" customHeight="1">
      <c r="A32" s="74" t="inlineStr">
        <is>
          <t>TOTAL GERAL</t>
        </is>
      </c>
      <c r="B32" s="75" t="n"/>
      <c r="C32" s="75" t="n"/>
      <c r="D32" s="75" t="n"/>
      <c r="E32" s="76">
        <f>SUM(E12:E31)</f>
        <v/>
      </c>
      <c r="F32" s="77" t="n"/>
      <c r="G32" s="78">
        <f>SUM(G12:G31)</f>
        <v/>
      </c>
      <c r="H32" s="79" t="n">
        <v>1</v>
      </c>
      <c r="I32" s="79" t="n">
        <v>1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F0B1"/>
  <mergeCells count="21">
    <mergeCell ref="C6:D6"/>
    <mergeCell ref="C5:D5"/>
    <mergeCell ref="E5:F5"/>
    <mergeCell ref="J1:N1"/>
    <mergeCell ref="A6:B6"/>
    <mergeCell ref="C4:D4"/>
    <mergeCell ref="E4:F4"/>
    <mergeCell ref="A8:I8"/>
    <mergeCell ref="G6:H6"/>
    <mergeCell ref="A3:B3"/>
    <mergeCell ref="G3:H3"/>
    <mergeCell ref="E6:F6"/>
    <mergeCell ref="A5:B5"/>
    <mergeCell ref="G5:H5"/>
    <mergeCell ref="A4:B4"/>
    <mergeCell ref="G4:H4"/>
    <mergeCell ref="A1:I1"/>
    <mergeCell ref="K8:N8"/>
    <mergeCell ref="C3:D3"/>
    <mergeCell ref="A32:D32"/>
    <mergeCell ref="E3:F3"/>
  </mergeCells>
  <conditionalFormatting sqref="A12:I31">
    <cfRule type="expression" priority="1" dxfId="0">
      <formula>$A12="A"</formula>
    </cfRule>
    <cfRule type="expression" priority="2" dxfId="1">
      <formula>$A12="B"</formula>
    </cfRule>
    <cfRule type="expression" priority="3" dxfId="2">
      <formula>$A12="C"</formula>
    </cfRule>
  </conditionalFormatting>
  <dataValidations count="2">
    <dataValidation sqref="B9" showDropDown="0" showInputMessage="1" showErrorMessage="1" allowBlank="0" errorTitle="❌ Valor Inválido — Tente Novamente" error="Digite um valor entre 0,50 e 0,89 (ex: 0,80 para 80%)" promptTitle="ℹ️ Dica de Preenchimento" prompt="Digite um percentual decimal (ex: 0,80 para 80%)" type="decimal" operator="between">
      <formula1>0.5</formula1>
      <formula2>0.99</formula2>
    </dataValidation>
    <dataValidation sqref="B10" showDropDown="0" showInputMessage="1" showErrorMessage="1" allowBlank="0" errorTitle="❌ Valor Inválido — Tente Novamente" error="Digite um valor entre 0,50 e 0,99 (ex: 0,95 para 95%)" promptTitle="ℹ️ Dica de Preenchimento" prompt="Digite um percentual decimal (ex: 0,80 para 80%)" type="decimal" operator="between">
      <formula1>0.5</formula1>
      <formula2>0.99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990000"/>
    <outlinePr summaryBelow="1" summaryRight="1"/>
    <pageSetUpPr/>
  </sheetPr>
  <dimension ref="A1:W42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8" customWidth="1" min="3" max="3"/>
    <col width="30" customWidth="1" min="4" max="4"/>
    <col width="10" customWidth="1" min="5" max="5"/>
    <col width="14" customWidth="1" min="6" max="6"/>
    <col width="16" customWidth="1" min="7" max="7"/>
    <col width="12" customWidth="1" min="8" max="8"/>
    <col width="12" customWidth="1" min="9" max="9"/>
    <col width="2" customWidth="1" min="10" max="10"/>
    <col width="11" customWidth="1" min="11" max="11"/>
    <col width="16" customWidth="1" min="12" max="12"/>
    <col width="10" customWidth="1" min="13" max="13"/>
    <col width="10" customWidth="1" min="14" max="14"/>
    <col width="2" customWidth="1" min="15" max="15"/>
    <col width="28" customWidth="1" min="16" max="16"/>
    <col width="13" customWidth="1" min="17" max="17"/>
    <col width="13" customWidth="1" min="18" max="18"/>
    <col width="13" customWidth="1" min="19" max="19"/>
    <col width="13" customWidth="1" min="20" max="20"/>
    <col width="10" customWidth="1" min="21" max="21"/>
    <col width="10" customWidth="1" min="22" max="22"/>
    <col width="10" customWidth="1" min="23" max="23"/>
  </cols>
  <sheetData>
    <row r="1" ht="54" customHeight="1">
      <c r="A1" s="1" t="inlineStr">
        <is>
          <t>🇯🇲  CURVA ABC REGGAE — ABA 02  —  One Love, One Excel! ✌️</t>
        </is>
      </c>
      <c r="J1" s="2" t="inlineStr">
        <is>
          <t>🟢 A = até 80%  |  🟡 B = 80–95%  |  🔴 C = 95–100%</t>
        </is>
      </c>
      <c r="O1" s="3" t="n"/>
    </row>
    <row r="2" ht="8" customHeight="1">
      <c r="A2" s="4" t="n"/>
      <c r="B2" s="3" t="n"/>
      <c r="C2" s="5" t="n"/>
      <c r="D2" s="6" t="n"/>
      <c r="E2" s="4" t="n"/>
      <c r="F2" s="3" t="n"/>
      <c r="G2" s="5" t="n"/>
      <c r="H2" s="6" t="n"/>
      <c r="I2" s="4" t="n"/>
      <c r="J2" s="3" t="n"/>
      <c r="K2" s="5" t="n"/>
      <c r="L2" s="6" t="n"/>
      <c r="M2" s="4" t="n"/>
      <c r="N2" s="3" t="n"/>
    </row>
    <row r="3" ht="24" customHeight="1">
      <c r="A3" s="7" t="inlineStr">
        <is>
          <t>💰 V.T. TOTAL</t>
        </is>
      </c>
      <c r="B3" s="8" t="n"/>
      <c r="C3" s="9" t="inlineStr">
        <is>
          <t>🟢 V.T. CLASSE A</t>
        </is>
      </c>
      <c r="D3" s="8" t="n"/>
      <c r="E3" s="10" t="inlineStr">
        <is>
          <t>🟡 V.T. CLASSE B</t>
        </is>
      </c>
      <c r="F3" s="8" t="n"/>
      <c r="G3" s="9" t="inlineStr">
        <is>
          <t>🔴 MAIOR V.T.</t>
        </is>
      </c>
      <c r="H3" s="8" t="n"/>
      <c r="I3" s="11" t="n"/>
    </row>
    <row r="4" ht="32" customHeight="1">
      <c r="A4" s="12">
        <f>SUM($G$12:$G$41)</f>
        <v/>
      </c>
      <c r="B4" s="13" t="n"/>
      <c r="C4" s="14">
        <f>SUMIF($A$12:$A$41,"A",$G$12:$G$41)</f>
        <v/>
      </c>
      <c r="D4" s="13" t="n"/>
      <c r="E4" s="15">
        <f>SUMIF($A$12:$A$41,"B",$G$12:$G$41)</f>
        <v/>
      </c>
      <c r="F4" s="13" t="n"/>
      <c r="G4" s="16">
        <f>MAX($G$12:$G$41)</f>
        <v/>
      </c>
      <c r="H4" s="13" t="n"/>
      <c r="I4" s="17" t="n"/>
    </row>
    <row r="5" ht="24" customHeight="1">
      <c r="A5" s="18" t="inlineStr">
        <is>
          <t>📦 TOTAL DE ITENS</t>
        </is>
      </c>
      <c r="B5" s="13" t="n"/>
      <c r="C5" s="19" t="inlineStr">
        <is>
          <t>% ITENS CLASSE A</t>
        </is>
      </c>
      <c r="D5" s="13" t="n"/>
      <c r="E5" s="19" t="inlineStr">
        <is>
          <t>🔴 V.T. CLASSE C</t>
        </is>
      </c>
      <c r="F5" s="13" t="n"/>
      <c r="G5" s="19" t="inlineStr">
        <is>
          <t>✅ STATUS</t>
        </is>
      </c>
      <c r="H5" s="13" t="n"/>
      <c r="I5" s="17" t="n"/>
    </row>
    <row r="6" ht="32" customHeight="1">
      <c r="A6" s="20">
        <f>COUNTA($D$12:$D$41)</f>
        <v/>
      </c>
      <c r="B6" s="21" t="n"/>
      <c r="C6" s="22">
        <f>IFERROR(COUNTIF($A$12:$A$41,"A")/COUNTA($D$12:$D$41),0)</f>
        <v/>
      </c>
      <c r="D6" s="21" t="n"/>
      <c r="E6" s="23">
        <f>SUMIF($A$12:$A$41,"C",$G$12:$G$41)</f>
        <v/>
      </c>
      <c r="F6" s="21" t="n"/>
      <c r="G6" s="24">
        <f>IF(IFERROR(MAX($I$12:$I$41),0)&gt;1.001,"⚠️ VERIFICAR","✅ OK")</f>
        <v/>
      </c>
      <c r="H6" s="21" t="n"/>
      <c r="I6" s="25" t="n"/>
    </row>
    <row r="7" ht="8" customHeight="1">
      <c r="A7" s="5" t="n"/>
      <c r="B7" s="3" t="n"/>
      <c r="C7" s="4" t="n"/>
      <c r="D7" s="6" t="n"/>
      <c r="E7" s="5" t="n"/>
      <c r="F7" s="3" t="n"/>
      <c r="G7" s="4" t="n"/>
      <c r="H7" s="6" t="n"/>
      <c r="I7" s="5" t="n"/>
      <c r="J7" s="3" t="n"/>
      <c r="K7" s="4" t="n"/>
      <c r="L7" s="6" t="n"/>
      <c r="M7" s="5" t="n"/>
      <c r="N7" s="3" t="n"/>
    </row>
    <row r="8" ht="20" customHeight="1">
      <c r="A8" s="26" t="inlineStr">
        <is>
          <t xml:space="preserve">  ✏️  Edite somente: Qtd. (col E) e Custo Unit. (col F)  |  Limite A → célula B9  |  Limite B → célula B10  |  As fórmulas V.T., % e ABC recalculam automaticamente</t>
        </is>
      </c>
      <c r="K8" s="27" t="inlineStr">
        <is>
          <t>RESUMO POR CLASSE</t>
        </is>
      </c>
      <c r="L8" s="28" t="n"/>
      <c r="M8" s="28" t="n"/>
      <c r="N8" s="28" t="n"/>
    </row>
    <row r="9" ht="24" customHeight="1">
      <c r="A9" s="29" t="inlineStr">
        <is>
          <t>Limite A (Classe A):</t>
        </is>
      </c>
      <c r="B9" s="30" t="n">
        <v>0.8</v>
      </c>
      <c r="K9" s="31" t="inlineStr">
        <is>
          <t>A</t>
        </is>
      </c>
      <c r="L9" s="32">
        <f>SUMIF($A$12:$A$41,"A",$G$12:$G$41)</f>
        <v/>
      </c>
      <c r="M9" s="33">
        <f>IFERROR(L9/SUM($G$12:$G$41),0)</f>
        <v/>
      </c>
      <c r="N9" s="34">
        <f>COUNTIF($A$12:$A$41,"A")</f>
        <v/>
      </c>
    </row>
    <row r="10" ht="24" customHeight="1">
      <c r="A10" s="29" t="inlineStr">
        <is>
          <t>Limite B (Classe B):</t>
        </is>
      </c>
      <c r="B10" s="35" t="n">
        <v>0.95</v>
      </c>
      <c r="K10" s="36" t="inlineStr">
        <is>
          <t>B</t>
        </is>
      </c>
      <c r="L10" s="37">
        <f>SUMIF($A$12:$A$41,"B",$G$12:$G$41)</f>
        <v/>
      </c>
      <c r="M10" s="38">
        <f>IFERROR(L10/SUM($G$12:$G$41),0)</f>
        <v/>
      </c>
      <c r="N10" s="39">
        <f>COUNTIF($A$12:$A$41,"B")</f>
        <v/>
      </c>
    </row>
    <row r="11" ht="26" customHeight="1">
      <c r="A11" s="40" t="inlineStr">
        <is>
          <t>ABC</t>
        </is>
      </c>
      <c r="B11" s="41" t="inlineStr">
        <is>
          <t>SKU</t>
        </is>
      </c>
      <c r="C11" s="41" t="inlineStr">
        <is>
          <t>Cod.</t>
        </is>
      </c>
      <c r="D11" s="42" t="inlineStr">
        <is>
          <t>Descrição do Produto</t>
        </is>
      </c>
      <c r="E11" s="43" t="inlineStr">
        <is>
          <t>Qtd.</t>
        </is>
      </c>
      <c r="F11" s="43" t="inlineStr">
        <is>
          <t>Custo Unit.(R$)</t>
        </is>
      </c>
      <c r="G11" s="40" t="inlineStr">
        <is>
          <t>V.T. (R$)</t>
        </is>
      </c>
      <c r="H11" s="41" t="inlineStr">
        <is>
          <t>% Individual</t>
        </is>
      </c>
      <c r="I11" s="41" t="inlineStr">
        <is>
          <t>% Acumulado</t>
        </is>
      </c>
      <c r="K11" s="44" t="inlineStr">
        <is>
          <t>C</t>
        </is>
      </c>
      <c r="L11" s="45">
        <f>SUMIF($A$12:$A$41,"C",$G$12:$G$41)</f>
        <v/>
      </c>
      <c r="M11" s="46">
        <f>IFERROR(L11/SUM($G$12:$G$41),0)</f>
        <v/>
      </c>
      <c r="N11" s="47">
        <f>COUNTIF($A$12:$A$41,"C")</f>
        <v/>
      </c>
      <c r="P11" s="48" t="inlineStr">
        <is>
          <t>Rótulo X</t>
        </is>
      </c>
      <c r="Q11" s="48" t="inlineStr">
        <is>
          <t>%IndA</t>
        </is>
      </c>
      <c r="R11" s="48" t="inlineStr">
        <is>
          <t>%IndB</t>
        </is>
      </c>
      <c r="S11" s="48" t="inlineStr">
        <is>
          <t>%IndC</t>
        </is>
      </c>
      <c r="T11" s="48" t="inlineStr">
        <is>
          <t>%Acum.</t>
        </is>
      </c>
      <c r="U11" s="48" t="inlineStr">
        <is>
          <t>ZonaA</t>
        </is>
      </c>
      <c r="V11" s="48" t="inlineStr">
        <is>
          <t>ZonaB</t>
        </is>
      </c>
      <c r="W11" s="48" t="inlineStr">
        <is>
          <t>ZonaC</t>
        </is>
      </c>
    </row>
    <row r="12" ht="18" customHeight="1">
      <c r="A12" s="49">
        <f>IF($I12&lt;=$B$9,"A",IF($I12&lt;=$B$10,"B","C"))</f>
        <v/>
      </c>
      <c r="B12" s="50" t="inlineStr">
        <is>
          <t>SKU01</t>
        </is>
      </c>
      <c r="C12" s="50" t="n">
        <v>2</v>
      </c>
      <c r="D12" s="51" t="inlineStr">
        <is>
          <t>Servidor Rack Dell Pro</t>
        </is>
      </c>
      <c r="E12" s="52" t="n">
        <v>15</v>
      </c>
      <c r="F12" s="53" t="n">
        <v>22500</v>
      </c>
      <c r="G12" s="54">
        <f>IFERROR(E12*F12,0)</f>
        <v/>
      </c>
      <c r="H12" s="55">
        <f>IFERROR(G12/SUM($G$12:$G$41),0)</f>
        <v/>
      </c>
      <c r="I12" s="55">
        <f>IFERROR(SUMIF($G$12:$G$41,"&gt;="&amp;G12,$G$12:$G$41)/SUM($G$12:$G$41),0)</f>
        <v/>
      </c>
      <c r="P12" s="56" t="inlineStr">
        <is>
          <t>A — SKU01 — Servidor Rack Dell P</t>
        </is>
      </c>
      <c r="Q12" s="57" t="n">
        <v>0.32488</v>
      </c>
      <c r="R12" s="58" t="n">
        <v>0</v>
      </c>
      <c r="S12" s="59" t="n">
        <v>0</v>
      </c>
      <c r="T12" s="60" t="n">
        <v>0.32488</v>
      </c>
      <c r="U12" s="61" t="n">
        <v>1</v>
      </c>
      <c r="V12" s="62" t="n">
        <v>0</v>
      </c>
      <c r="W12" s="63" t="n">
        <v>0</v>
      </c>
    </row>
    <row r="13" ht="18" customHeight="1">
      <c r="A13" s="49">
        <f>IF($I13&lt;=$B$9,"A",IF($I13&lt;=$B$10,"B","C"))</f>
        <v/>
      </c>
      <c r="B13" s="50" t="inlineStr">
        <is>
          <t>SKU02</t>
        </is>
      </c>
      <c r="C13" s="50" t="n">
        <v>17</v>
      </c>
      <c r="D13" s="51" t="inlineStr">
        <is>
          <t>Workstation Grafica</t>
        </is>
      </c>
      <c r="E13" s="52" t="n">
        <v>19</v>
      </c>
      <c r="F13" s="53" t="n">
        <v>12000</v>
      </c>
      <c r="G13" s="54">
        <f>IFERROR(E13*F13,0)</f>
        <v/>
      </c>
      <c r="H13" s="55">
        <f>IFERROR(G13/SUM($G$12:$G$41),0)</f>
        <v/>
      </c>
      <c r="I13" s="55">
        <f>IFERROR(SUMIF($G$12:$G$41,"&gt;="&amp;G13,$G$12:$G$41)/SUM($G$12:$G$41),0)</f>
        <v/>
      </c>
      <c r="P13" s="56" t="inlineStr">
        <is>
          <t>A — SKU02 — Workstation Grafica</t>
        </is>
      </c>
      <c r="Q13" s="57" t="n">
        <v>0.21947</v>
      </c>
      <c r="R13" s="58" t="n">
        <v>0</v>
      </c>
      <c r="S13" s="59" t="n">
        <v>0</v>
      </c>
      <c r="T13" s="60" t="n">
        <v>0.54435</v>
      </c>
      <c r="U13" s="61" t="n">
        <v>1</v>
      </c>
      <c r="V13" s="62" t="n">
        <v>0</v>
      </c>
      <c r="W13" s="63" t="n">
        <v>0</v>
      </c>
    </row>
    <row r="14" ht="18" customHeight="1">
      <c r="A14" s="49">
        <f>IF($I14&lt;=$B$9,"A",IF($I14&lt;=$B$10,"B","C"))</f>
        <v/>
      </c>
      <c r="B14" s="50" t="inlineStr">
        <is>
          <t>SKU03</t>
        </is>
      </c>
      <c r="C14" s="50" t="n">
        <v>10</v>
      </c>
      <c r="D14" s="51" t="inlineStr">
        <is>
          <t>Notebook i7 32GB RAM</t>
        </is>
      </c>
      <c r="E14" s="52" t="n">
        <v>28</v>
      </c>
      <c r="F14" s="53" t="n">
        <v>7200</v>
      </c>
      <c r="G14" s="54">
        <f>IFERROR(E14*F14,0)</f>
        <v/>
      </c>
      <c r="H14" s="55">
        <f>IFERROR(G14/SUM($G$12:$G$41),0)</f>
        <v/>
      </c>
      <c r="I14" s="55">
        <f>IFERROR(SUMIF($G$12:$G$41,"&gt;="&amp;G14,$G$12:$G$41)/SUM($G$12:$G$41),0)</f>
        <v/>
      </c>
      <c r="P14" s="56" t="inlineStr">
        <is>
          <t>A — SKU03 — Notebook i7 32GB RAM</t>
        </is>
      </c>
      <c r="Q14" s="57" t="n">
        <v>0.19406</v>
      </c>
      <c r="R14" s="58" t="n">
        <v>0</v>
      </c>
      <c r="S14" s="59" t="n">
        <v>0</v>
      </c>
      <c r="T14" s="60" t="n">
        <v>0.73842</v>
      </c>
      <c r="U14" s="61" t="n">
        <v>1</v>
      </c>
      <c r="V14" s="62" t="n">
        <v>0</v>
      </c>
      <c r="W14" s="63" t="n">
        <v>0</v>
      </c>
    </row>
    <row r="15" ht="18" customHeight="1">
      <c r="A15" s="49">
        <f>IF($I15&lt;=$B$9,"A",IF($I15&lt;=$B$10,"B","C"))</f>
        <v/>
      </c>
      <c r="B15" s="50" t="inlineStr">
        <is>
          <t>SKU04</t>
        </is>
      </c>
      <c r="C15" s="50" t="n">
        <v>8</v>
      </c>
      <c r="D15" s="51" t="inlineStr">
        <is>
          <t>Switch Gerenciavel 48p</t>
        </is>
      </c>
      <c r="E15" s="52" t="n">
        <v>10</v>
      </c>
      <c r="F15" s="53" t="n">
        <v>4800</v>
      </c>
      <c r="G15" s="54">
        <f>IFERROR(E15*F15,0)</f>
        <v/>
      </c>
      <c r="H15" s="55">
        <f>IFERROR(G15/SUM($G$12:$G$41),0)</f>
        <v/>
      </c>
      <c r="I15" s="55">
        <f>IFERROR(SUMIF($G$12:$G$41,"&gt;="&amp;G15,$G$12:$G$41)/SUM($G$12:$G$41),0)</f>
        <v/>
      </c>
      <c r="P15" s="56" t="inlineStr">
        <is>
          <t>A — SKU04 — Switch Gerenciavel 4</t>
        </is>
      </c>
      <c r="Q15" s="57" t="n">
        <v>0.04621</v>
      </c>
      <c r="R15" s="58" t="n">
        <v>0</v>
      </c>
      <c r="S15" s="59" t="n">
        <v>0</v>
      </c>
      <c r="T15" s="60" t="n">
        <v>0.78462</v>
      </c>
      <c r="U15" s="61" t="n">
        <v>1</v>
      </c>
      <c r="V15" s="62" t="n">
        <v>0</v>
      </c>
      <c r="W15" s="63" t="n">
        <v>0</v>
      </c>
    </row>
    <row r="16" ht="18" customHeight="1">
      <c r="A16" s="64">
        <f>IF($I16&lt;=$B$9,"A",IF($I16&lt;=$B$10,"B","C"))</f>
        <v/>
      </c>
      <c r="B16" s="65" t="inlineStr">
        <is>
          <t>SKU05</t>
        </is>
      </c>
      <c r="C16" s="65" t="n">
        <v>22</v>
      </c>
      <c r="D16" s="66" t="inlineStr">
        <is>
          <t>Placa de Video RTX</t>
        </is>
      </c>
      <c r="E16" s="52" t="n">
        <v>8</v>
      </c>
      <c r="F16" s="53" t="n">
        <v>5500</v>
      </c>
      <c r="G16" s="67">
        <f>IFERROR(E16*F16,0)</f>
        <v/>
      </c>
      <c r="H16" s="68">
        <f>IFERROR(G16/SUM($G$12:$G$41),0)</f>
        <v/>
      </c>
      <c r="I16" s="68">
        <f>IFERROR(SUMIF($G$12:$G$41,"&gt;="&amp;G16,$G$12:$G$41)/SUM($G$12:$G$41),0)</f>
        <v/>
      </c>
      <c r="P16" s="56" t="inlineStr">
        <is>
          <t>B — SKU05 — Placa de Video RTX</t>
        </is>
      </c>
      <c r="Q16" s="57" t="n">
        <v>0</v>
      </c>
      <c r="R16" s="58" t="n">
        <v>0.04235</v>
      </c>
      <c r="S16" s="59" t="n">
        <v>0</v>
      </c>
      <c r="T16" s="60" t="n">
        <v>0.82698</v>
      </c>
      <c r="U16" s="61" t="n">
        <v>0</v>
      </c>
      <c r="V16" s="62" t="n">
        <v>1</v>
      </c>
      <c r="W16" s="63" t="n">
        <v>0</v>
      </c>
    </row>
    <row r="17" ht="18" customHeight="1">
      <c r="A17" s="64">
        <f>IF($I17&lt;=$B$9,"A",IF($I17&lt;=$B$10,"B","C"))</f>
        <v/>
      </c>
      <c r="B17" s="65" t="inlineStr">
        <is>
          <t>SKU06</t>
        </is>
      </c>
      <c r="C17" s="65" t="n">
        <v>21</v>
      </c>
      <c r="D17" s="66" t="inlineStr">
        <is>
          <t>Storage NAS 40TB</t>
        </is>
      </c>
      <c r="E17" s="52" t="n">
        <v>2</v>
      </c>
      <c r="F17" s="53" t="n">
        <v>18500</v>
      </c>
      <c r="G17" s="67">
        <f>IFERROR(E17*F17,0)</f>
        <v/>
      </c>
      <c r="H17" s="68">
        <f>IFERROR(G17/SUM($G$12:$G$41),0)</f>
        <v/>
      </c>
      <c r="I17" s="68">
        <f>IFERROR(SUMIF($G$12:$G$41,"&gt;="&amp;G17,$G$12:$G$41)/SUM($G$12:$G$41),0)</f>
        <v/>
      </c>
      <c r="P17" s="56" t="inlineStr">
        <is>
          <t>B — SKU06 — Storage NAS 40TB</t>
        </is>
      </c>
      <c r="Q17" s="57" t="n">
        <v>0</v>
      </c>
      <c r="R17" s="58" t="n">
        <v>0.03562</v>
      </c>
      <c r="S17" s="59" t="n">
        <v>0</v>
      </c>
      <c r="T17" s="60" t="n">
        <v>0.86259</v>
      </c>
      <c r="U17" s="61" t="n">
        <v>0</v>
      </c>
      <c r="V17" s="62" t="n">
        <v>1</v>
      </c>
      <c r="W17" s="63" t="n">
        <v>0</v>
      </c>
    </row>
    <row r="18" ht="18" customHeight="1">
      <c r="A18" s="64">
        <f>IF($I18&lt;=$B$9,"A",IF($I18&lt;=$B$10,"B","C"))</f>
        <v/>
      </c>
      <c r="B18" s="65" t="inlineStr">
        <is>
          <t>SKU07</t>
        </is>
      </c>
      <c r="C18" s="65" t="n">
        <v>19</v>
      </c>
      <c r="D18" s="66" t="inlineStr">
        <is>
          <t>Memoria RAM 16GB</t>
        </is>
      </c>
      <c r="E18" s="52" t="n">
        <v>45</v>
      </c>
      <c r="F18" s="53" t="n">
        <v>380</v>
      </c>
      <c r="G18" s="67">
        <f>IFERROR(E18*F18,0)</f>
        <v/>
      </c>
      <c r="H18" s="68">
        <f>IFERROR(G18/SUM($G$12:$G$41),0)</f>
        <v/>
      </c>
      <c r="I18" s="68">
        <f>IFERROR(SUMIF($G$12:$G$41,"&gt;="&amp;G18,$G$12:$G$41)/SUM($G$12:$G$41),0)</f>
        <v/>
      </c>
      <c r="P18" s="56" t="inlineStr">
        <is>
          <t>B — SKU07 — Memoria RAM 16GB</t>
        </is>
      </c>
      <c r="Q18" s="57" t="n">
        <v>0</v>
      </c>
      <c r="R18" s="58" t="n">
        <v>0.01646</v>
      </c>
      <c r="S18" s="59" t="n">
        <v>0</v>
      </c>
      <c r="T18" s="60" t="n">
        <v>0.87905</v>
      </c>
      <c r="U18" s="61" t="n">
        <v>0</v>
      </c>
      <c r="V18" s="62" t="n">
        <v>1</v>
      </c>
      <c r="W18" s="63" t="n">
        <v>0</v>
      </c>
    </row>
    <row r="19" ht="18" customHeight="1">
      <c r="A19" s="64">
        <f>IF($I19&lt;=$B$9,"A",IF($I19&lt;=$B$10,"B","C"))</f>
        <v/>
      </c>
      <c r="B19" s="65" t="inlineStr">
        <is>
          <t>SKU08</t>
        </is>
      </c>
      <c r="C19" s="65" t="n">
        <v>12</v>
      </c>
      <c r="D19" s="66" t="inlineStr">
        <is>
          <t>Toner Impressora Laser</t>
        </is>
      </c>
      <c r="E19" s="52" t="n">
        <v>40</v>
      </c>
      <c r="F19" s="53" t="n">
        <v>320</v>
      </c>
      <c r="G19" s="67">
        <f>IFERROR(E19*F19,0)</f>
        <v/>
      </c>
      <c r="H19" s="68">
        <f>IFERROR(G19/SUM($G$12:$G$41),0)</f>
        <v/>
      </c>
      <c r="I19" s="68">
        <f>IFERROR(SUMIF($G$12:$G$41,"&gt;="&amp;G19,$G$12:$G$41)/SUM($G$12:$G$41),0)</f>
        <v/>
      </c>
      <c r="P19" s="56" t="inlineStr">
        <is>
          <t>B — SKU08 — Toner Impressora Las</t>
        </is>
      </c>
      <c r="Q19" s="57" t="n">
        <v>0</v>
      </c>
      <c r="R19" s="58" t="n">
        <v>0.01232</v>
      </c>
      <c r="S19" s="59" t="n">
        <v>0</v>
      </c>
      <c r="T19" s="60" t="n">
        <v>0.89137</v>
      </c>
      <c r="U19" s="61" t="n">
        <v>0</v>
      </c>
      <c r="V19" s="62" t="n">
        <v>1</v>
      </c>
      <c r="W19" s="63" t="n">
        <v>0</v>
      </c>
    </row>
    <row r="20" ht="18" customHeight="1">
      <c r="A20" s="64">
        <f>IF($I20&lt;=$B$9,"A",IF($I20&lt;=$B$10,"B","C"))</f>
        <v/>
      </c>
      <c r="B20" s="65" t="inlineStr">
        <is>
          <t>SKU09</t>
        </is>
      </c>
      <c r="C20" s="65" t="n">
        <v>4</v>
      </c>
      <c r="D20" s="66" t="inlineStr">
        <is>
          <t>Monitor LED 24"</t>
        </is>
      </c>
      <c r="E20" s="52" t="n">
        <v>15</v>
      </c>
      <c r="F20" s="53" t="n">
        <v>850</v>
      </c>
      <c r="G20" s="67">
        <f>IFERROR(E20*F20,0)</f>
        <v/>
      </c>
      <c r="H20" s="68">
        <f>IFERROR(G20/SUM($G$12:$G$41),0)</f>
        <v/>
      </c>
      <c r="I20" s="68">
        <f>IFERROR(SUMIF($G$12:$G$41,"&gt;="&amp;G20,$G$12:$G$41)/SUM($G$12:$G$41),0)</f>
        <v/>
      </c>
      <c r="P20" s="56" t="inlineStr">
        <is>
          <t>B — SKU09 — Monitor LED 24"</t>
        </is>
      </c>
      <c r="Q20" s="57" t="n">
        <v>0</v>
      </c>
      <c r="R20" s="58" t="n">
        <v>0.01227</v>
      </c>
      <c r="S20" s="59" t="n">
        <v>0</v>
      </c>
      <c r="T20" s="60" t="n">
        <v>0.90365</v>
      </c>
      <c r="U20" s="61" t="n">
        <v>0</v>
      </c>
      <c r="V20" s="62" t="n">
        <v>1</v>
      </c>
      <c r="W20" s="63" t="n">
        <v>0</v>
      </c>
    </row>
    <row r="21" ht="18" customHeight="1">
      <c r="A21" s="64">
        <f>IF($I21&lt;=$B$9,"A",IF($I21&lt;=$B$10,"B","C"))</f>
        <v/>
      </c>
      <c r="B21" s="65" t="inlineStr">
        <is>
          <t>SKU10</t>
        </is>
      </c>
      <c r="C21" s="65" t="n">
        <v>11</v>
      </c>
      <c r="D21" s="66" t="inlineStr">
        <is>
          <t>Roteador Wi-Fi 6</t>
        </is>
      </c>
      <c r="E21" s="52" t="n">
        <v>25</v>
      </c>
      <c r="F21" s="53" t="n">
        <v>450</v>
      </c>
      <c r="G21" s="67">
        <f>IFERROR(E21*F21,0)</f>
        <v/>
      </c>
      <c r="H21" s="68">
        <f>IFERROR(G21/SUM($G$12:$G$41),0)</f>
        <v/>
      </c>
      <c r="I21" s="68">
        <f>IFERROR(SUMIF($G$12:$G$41,"&gt;="&amp;G21,$G$12:$G$41)/SUM($G$12:$G$41),0)</f>
        <v/>
      </c>
      <c r="P21" s="56" t="inlineStr">
        <is>
          <t>B — SKU10 — Roteador Wi-Fi 6</t>
        </is>
      </c>
      <c r="Q21" s="57" t="n">
        <v>0</v>
      </c>
      <c r="R21" s="58" t="n">
        <v>0.01083</v>
      </c>
      <c r="S21" s="59" t="n">
        <v>0</v>
      </c>
      <c r="T21" s="60" t="n">
        <v>0.91448</v>
      </c>
      <c r="U21" s="61" t="n">
        <v>0</v>
      </c>
      <c r="V21" s="62" t="n">
        <v>1</v>
      </c>
      <c r="W21" s="63" t="n">
        <v>0</v>
      </c>
    </row>
    <row r="22" ht="18" customHeight="1">
      <c r="A22" s="64">
        <f>IF($I22&lt;=$B$9,"A",IF($I22&lt;=$B$10,"B","C"))</f>
        <v/>
      </c>
      <c r="B22" s="65" t="inlineStr">
        <is>
          <t>SKU11</t>
        </is>
      </c>
      <c r="C22" s="65" t="n">
        <v>15</v>
      </c>
      <c r="D22" s="66" t="inlineStr">
        <is>
          <t>SSD 480GB Sata</t>
        </is>
      </c>
      <c r="E22" s="52" t="n">
        <v>55</v>
      </c>
      <c r="F22" s="53" t="n">
        <v>190</v>
      </c>
      <c r="G22" s="67">
        <f>IFERROR(E22*F22,0)</f>
        <v/>
      </c>
      <c r="H22" s="68">
        <f>IFERROR(G22/SUM($G$12:$G$41),0)</f>
        <v/>
      </c>
      <c r="I22" s="68">
        <f>IFERROR(SUMIF($G$12:$G$41,"&gt;="&amp;G22,$G$12:$G$41)/SUM($G$12:$G$41),0)</f>
        <v/>
      </c>
      <c r="P22" s="56" t="inlineStr">
        <is>
          <t>B — SKU11 — SSD 480GB Sata</t>
        </is>
      </c>
      <c r="Q22" s="57" t="n">
        <v>0</v>
      </c>
      <c r="R22" s="58" t="n">
        <v>0.01006</v>
      </c>
      <c r="S22" s="59" t="n">
        <v>0</v>
      </c>
      <c r="T22" s="60" t="n">
        <v>0.92454</v>
      </c>
      <c r="U22" s="61" t="n">
        <v>0</v>
      </c>
      <c r="V22" s="62" t="n">
        <v>1</v>
      </c>
      <c r="W22" s="63" t="n">
        <v>0</v>
      </c>
    </row>
    <row r="23" ht="18" customHeight="1">
      <c r="A23" s="64">
        <f>IF($I23&lt;=$B$9,"A",IF($I23&lt;=$B$10,"B","C"))</f>
        <v/>
      </c>
      <c r="B23" s="65" t="inlineStr">
        <is>
          <t>SKU12</t>
        </is>
      </c>
      <c r="C23" s="65" t="n">
        <v>6</v>
      </c>
      <c r="D23" s="66" t="inlineStr">
        <is>
          <t>Nobreak 1500VA</t>
        </is>
      </c>
      <c r="E23" s="52" t="n">
        <v>8</v>
      </c>
      <c r="F23" s="53" t="n">
        <v>1200</v>
      </c>
      <c r="G23" s="67">
        <f>IFERROR(E23*F23,0)</f>
        <v/>
      </c>
      <c r="H23" s="68">
        <f>IFERROR(G23/SUM($G$12:$G$41),0)</f>
        <v/>
      </c>
      <c r="I23" s="68">
        <f>IFERROR(SUMIF($G$12:$G$41,"&gt;="&amp;G23,$G$12:$G$41)/SUM($G$12:$G$41),0)</f>
        <v/>
      </c>
      <c r="P23" s="56" t="inlineStr">
        <is>
          <t>B — SKU12 — Nobreak 1500VA</t>
        </is>
      </c>
      <c r="Q23" s="57" t="n">
        <v>0</v>
      </c>
      <c r="R23" s="58" t="n">
        <v>0.00924</v>
      </c>
      <c r="S23" s="59" t="n">
        <v>0</v>
      </c>
      <c r="T23" s="60" t="n">
        <v>0.9337800000000001</v>
      </c>
      <c r="U23" s="61" t="n">
        <v>0</v>
      </c>
      <c r="V23" s="62" t="n">
        <v>1</v>
      </c>
      <c r="W23" s="63" t="n">
        <v>0</v>
      </c>
    </row>
    <row r="24" ht="18" customHeight="1">
      <c r="A24" s="64">
        <f>IF($I24&lt;=$B$9,"A",IF($I24&lt;=$B$10,"B","C"))</f>
        <v/>
      </c>
      <c r="B24" s="65" t="inlineStr">
        <is>
          <t>SKU13</t>
        </is>
      </c>
      <c r="C24" s="65" t="n">
        <v>20</v>
      </c>
      <c r="D24" s="66" t="inlineStr">
        <is>
          <t>HD Externo 2TB</t>
        </is>
      </c>
      <c r="E24" s="52" t="n">
        <v>18</v>
      </c>
      <c r="F24" s="53" t="n">
        <v>420</v>
      </c>
      <c r="G24" s="67">
        <f>IFERROR(E24*F24,0)</f>
        <v/>
      </c>
      <c r="H24" s="68">
        <f>IFERROR(G24/SUM($G$12:$G$41),0)</f>
        <v/>
      </c>
      <c r="I24" s="68">
        <f>IFERROR(SUMIF($G$12:$G$41,"&gt;="&amp;G24,$G$12:$G$41)/SUM($G$12:$G$41),0)</f>
        <v/>
      </c>
      <c r="P24" s="56" t="inlineStr">
        <is>
          <t>B — SKU13 — HD Externo 2TB</t>
        </is>
      </c>
      <c r="Q24" s="57" t="n">
        <v>0</v>
      </c>
      <c r="R24" s="58" t="n">
        <v>0.00728</v>
      </c>
      <c r="S24" s="59" t="n">
        <v>0</v>
      </c>
      <c r="T24" s="60" t="n">
        <v>0.9410500000000001</v>
      </c>
      <c r="U24" s="61" t="n">
        <v>0</v>
      </c>
      <c r="V24" s="62" t="n">
        <v>1</v>
      </c>
      <c r="W24" s="63" t="n">
        <v>0</v>
      </c>
    </row>
    <row r="25" ht="18" customHeight="1">
      <c r="A25" s="64">
        <f>IF($I25&lt;=$B$9,"A",IF($I25&lt;=$B$10,"B","C"))</f>
        <v/>
      </c>
      <c r="B25" s="65" t="inlineStr">
        <is>
          <t>SKU14</t>
        </is>
      </c>
      <c r="C25" s="65" t="n">
        <v>5</v>
      </c>
      <c r="D25" s="66" t="inlineStr">
        <is>
          <t>Teclado Mecanico RGB</t>
        </is>
      </c>
      <c r="E25" s="52" t="n">
        <v>30</v>
      </c>
      <c r="F25" s="53" t="n">
        <v>250</v>
      </c>
      <c r="G25" s="67">
        <f>IFERROR(E25*F25,0)</f>
        <v/>
      </c>
      <c r="H25" s="68">
        <f>IFERROR(G25/SUM($G$12:$G$41),0)</f>
        <v/>
      </c>
      <c r="I25" s="68">
        <f>IFERROR(SUMIF($G$12:$G$41,"&gt;="&amp;G25,$G$12:$G$41)/SUM($G$12:$G$41),0)</f>
        <v/>
      </c>
      <c r="P25" s="56" t="inlineStr">
        <is>
          <t>B — SKU14 — Teclado Mecanico RGB</t>
        </is>
      </c>
      <c r="Q25" s="57" t="n">
        <v>0</v>
      </c>
      <c r="R25" s="58" t="n">
        <v>0.00722</v>
      </c>
      <c r="S25" s="59" t="n">
        <v>0</v>
      </c>
      <c r="T25" s="60" t="n">
        <v>0.9482699999999999</v>
      </c>
      <c r="U25" s="61" t="n">
        <v>0</v>
      </c>
      <c r="V25" s="62" t="n">
        <v>1</v>
      </c>
      <c r="W25" s="63" t="n">
        <v>0</v>
      </c>
    </row>
    <row r="26" ht="18" customHeight="1">
      <c r="A26" s="69">
        <f>IF($I26&lt;=$B$9,"A",IF($I26&lt;=$B$10,"B","C"))</f>
        <v/>
      </c>
      <c r="B26" s="70" t="inlineStr">
        <is>
          <t>SKU15</t>
        </is>
      </c>
      <c r="C26" s="70" t="n">
        <v>9</v>
      </c>
      <c r="D26" s="71" t="inlineStr">
        <is>
          <t>Pen Drive 64GB</t>
        </is>
      </c>
      <c r="E26" s="52" t="n">
        <v>150</v>
      </c>
      <c r="F26" s="53" t="n">
        <v>45</v>
      </c>
      <c r="G26" s="72">
        <f>IFERROR(E26*F26,0)</f>
        <v/>
      </c>
      <c r="H26" s="73">
        <f>IFERROR(G26/SUM($G$12:$G$41),0)</f>
        <v/>
      </c>
      <c r="I26" s="73">
        <f>IFERROR(SUMIF($G$12:$G$41,"&gt;="&amp;G26,$G$12:$G$41)/SUM($G$12:$G$41),0)</f>
        <v/>
      </c>
      <c r="P26" s="56" t="inlineStr">
        <is>
          <t>C — SKU15 — Pen Drive 64GB</t>
        </is>
      </c>
      <c r="Q26" s="57" t="n">
        <v>0</v>
      </c>
      <c r="R26" s="58" t="n">
        <v>0</v>
      </c>
      <c r="S26" s="59" t="n">
        <v>0.0065</v>
      </c>
      <c r="T26" s="60" t="n">
        <v>0.95477</v>
      </c>
      <c r="U26" s="61" t="n">
        <v>0</v>
      </c>
      <c r="V26" s="62" t="n">
        <v>0</v>
      </c>
      <c r="W26" s="63" t="n">
        <v>1</v>
      </c>
    </row>
    <row r="27" ht="18" customHeight="1">
      <c r="A27" s="69">
        <f>IF($I27&lt;=$B$9,"A",IF($I27&lt;=$B$10,"B","C"))</f>
        <v/>
      </c>
      <c r="B27" s="70" t="inlineStr">
        <is>
          <t>SKU16</t>
        </is>
      </c>
      <c r="C27" s="70" t="n">
        <v>13</v>
      </c>
      <c r="D27" s="71" t="inlineStr">
        <is>
          <t>Headset com Microfone</t>
        </is>
      </c>
      <c r="E27" s="52" t="n">
        <v>60</v>
      </c>
      <c r="F27" s="53" t="n">
        <v>110</v>
      </c>
      <c r="G27" s="72">
        <f>IFERROR(E27*F27,0)</f>
        <v/>
      </c>
      <c r="H27" s="73">
        <f>IFERROR(G27/SUM($G$12:$G$41),0)</f>
        <v/>
      </c>
      <c r="I27" s="73">
        <f>IFERROR(SUMIF($G$12:$G$41,"&gt;="&amp;G27,$G$12:$G$41)/SUM($G$12:$G$41),0)</f>
        <v/>
      </c>
      <c r="P27" s="56" t="inlineStr">
        <is>
          <t>C — SKU16 — Headset com Microfon</t>
        </is>
      </c>
      <c r="Q27" s="57" t="n">
        <v>0</v>
      </c>
      <c r="R27" s="58" t="n">
        <v>0</v>
      </c>
      <c r="S27" s="59" t="n">
        <v>0.00635</v>
      </c>
      <c r="T27" s="60" t="n">
        <v>0.96113</v>
      </c>
      <c r="U27" s="61" t="n">
        <v>0</v>
      </c>
      <c r="V27" s="62" t="n">
        <v>0</v>
      </c>
      <c r="W27" s="63" t="n">
        <v>1</v>
      </c>
    </row>
    <row r="28" ht="18" customHeight="1">
      <c r="A28" s="69">
        <f>IF($I28&lt;=$B$9,"A",IF($I28&lt;=$B$10,"B","C"))</f>
        <v/>
      </c>
      <c r="B28" s="70" t="inlineStr">
        <is>
          <t>SKU17</t>
        </is>
      </c>
      <c r="C28" s="70" t="n">
        <v>7</v>
      </c>
      <c r="D28" s="71" t="inlineStr">
        <is>
          <t>Pacote de Papel A4</t>
        </is>
      </c>
      <c r="E28" s="52" t="n">
        <v>200</v>
      </c>
      <c r="F28" s="53" t="n">
        <v>28</v>
      </c>
      <c r="G28" s="72">
        <f>IFERROR(E28*F28,0)</f>
        <v/>
      </c>
      <c r="H28" s="73">
        <f>IFERROR(G28/SUM($G$12:$G$41),0)</f>
        <v/>
      </c>
      <c r="I28" s="73">
        <f>IFERROR(SUMIF($G$12:$G$41,"&gt;="&amp;G28,$G$12:$G$41)/SUM($G$12:$G$41),0)</f>
        <v/>
      </c>
      <c r="P28" s="56" t="inlineStr">
        <is>
          <t>C — SKU17 — Pacote de Papel A4</t>
        </is>
      </c>
      <c r="Q28" s="57" t="n">
        <v>0</v>
      </c>
      <c r="R28" s="58" t="n">
        <v>0</v>
      </c>
      <c r="S28" s="59" t="n">
        <v>0.00539</v>
      </c>
      <c r="T28" s="60" t="n">
        <v>0.96652</v>
      </c>
      <c r="U28" s="61" t="n">
        <v>0</v>
      </c>
      <c r="V28" s="62" t="n">
        <v>0</v>
      </c>
      <c r="W28" s="63" t="n">
        <v>1</v>
      </c>
    </row>
    <row r="29" ht="18" customHeight="1">
      <c r="A29" s="69">
        <f>IF($I29&lt;=$B$9,"A",IF($I29&lt;=$B$10,"B","C"))</f>
        <v/>
      </c>
      <c r="B29" s="70" t="inlineStr">
        <is>
          <t>SKU18</t>
        </is>
      </c>
      <c r="C29" s="70" t="n">
        <v>29</v>
      </c>
      <c r="D29" s="71" t="inlineStr">
        <is>
          <t>Teclado de Entrada</t>
        </is>
      </c>
      <c r="E29" s="52" t="n">
        <v>100</v>
      </c>
      <c r="F29" s="53" t="n">
        <v>45</v>
      </c>
      <c r="G29" s="72">
        <f>IFERROR(E29*F29,0)</f>
        <v/>
      </c>
      <c r="H29" s="73">
        <f>IFERROR(G29/SUM($G$12:$G$41),0)</f>
        <v/>
      </c>
      <c r="I29" s="73">
        <f>IFERROR(SUMIF($G$12:$G$41,"&gt;="&amp;G29,$G$12:$G$41)/SUM($G$12:$G$41),0)</f>
        <v/>
      </c>
      <c r="P29" s="56" t="inlineStr">
        <is>
          <t>C — SKU18 — Teclado de Entrada</t>
        </is>
      </c>
      <c r="Q29" s="57" t="n">
        <v>0</v>
      </c>
      <c r="R29" s="58" t="n">
        <v>0</v>
      </c>
      <c r="S29" s="59" t="n">
        <v>0.00433</v>
      </c>
      <c r="T29" s="60" t="n">
        <v>0.97085</v>
      </c>
      <c r="U29" s="61" t="n">
        <v>0</v>
      </c>
      <c r="V29" s="62" t="n">
        <v>0</v>
      </c>
      <c r="W29" s="63" t="n">
        <v>1</v>
      </c>
    </row>
    <row r="30" ht="18" customHeight="1">
      <c r="A30" s="69">
        <f>IF($I30&lt;=$B$9,"A",IF($I30&lt;=$B$10,"B","C"))</f>
        <v/>
      </c>
      <c r="B30" s="70" t="inlineStr">
        <is>
          <t>SKU19</t>
        </is>
      </c>
      <c r="C30" s="70" t="n">
        <v>18</v>
      </c>
      <c r="D30" s="71" t="inlineStr">
        <is>
          <t>Filtro de Linha</t>
        </is>
      </c>
      <c r="E30" s="52" t="n">
        <v>110</v>
      </c>
      <c r="F30" s="53" t="n">
        <v>40</v>
      </c>
      <c r="G30" s="72">
        <f>IFERROR(E30*F30,0)</f>
        <v/>
      </c>
      <c r="H30" s="73">
        <f>IFERROR(G30/SUM($G$12:$G$41),0)</f>
        <v/>
      </c>
      <c r="I30" s="73">
        <f>IFERROR(SUMIF($G$12:$G$41,"&gt;="&amp;G30,$G$12:$G$41)/SUM($G$12:$G$41),0)</f>
        <v/>
      </c>
      <c r="P30" s="56" t="inlineStr">
        <is>
          <t>C — SKU19 — Filtro de Linha</t>
        </is>
      </c>
      <c r="Q30" s="57" t="n">
        <v>0</v>
      </c>
      <c r="R30" s="58" t="n">
        <v>0</v>
      </c>
      <c r="S30" s="59" t="n">
        <v>0.00424</v>
      </c>
      <c r="T30" s="60" t="n">
        <v>0.9750799999999999</v>
      </c>
      <c r="U30" s="61" t="n">
        <v>0</v>
      </c>
      <c r="V30" s="62" t="n">
        <v>0</v>
      </c>
      <c r="W30" s="63" t="n">
        <v>1</v>
      </c>
    </row>
    <row r="31" ht="18" customHeight="1">
      <c r="A31" s="69">
        <f>IF($I31&lt;=$B$9,"A",IF($I31&lt;=$B$10,"B","C"))</f>
        <v/>
      </c>
      <c r="B31" s="70" t="inlineStr">
        <is>
          <t>SKU20</t>
        </is>
      </c>
      <c r="C31" s="70" t="n">
        <v>14</v>
      </c>
      <c r="D31" s="71" t="inlineStr">
        <is>
          <t>Webcam Full HD</t>
        </is>
      </c>
      <c r="E31" s="52" t="n">
        <v>22</v>
      </c>
      <c r="F31" s="53" t="n">
        <v>180</v>
      </c>
      <c r="G31" s="72">
        <f>IFERROR(E31*F31,0)</f>
        <v/>
      </c>
      <c r="H31" s="73">
        <f>IFERROR(G31/SUM($G$12:$G$41),0)</f>
        <v/>
      </c>
      <c r="I31" s="73">
        <f>IFERROR(SUMIF($G$12:$G$41,"&gt;="&amp;G31,$G$12:$G$41)/SUM($G$12:$G$41),0)</f>
        <v/>
      </c>
      <c r="P31" s="56" t="inlineStr">
        <is>
          <t>C — SKU20 — Webcam Full HD</t>
        </is>
      </c>
      <c r="Q31" s="57" t="n">
        <v>0</v>
      </c>
      <c r="R31" s="58" t="n">
        <v>0</v>
      </c>
      <c r="S31" s="59" t="n">
        <v>0.00381</v>
      </c>
      <c r="T31" s="60" t="n">
        <v>0.97889</v>
      </c>
      <c r="U31" s="61" t="n">
        <v>0</v>
      </c>
      <c r="V31" s="62" t="n">
        <v>0</v>
      </c>
      <c r="W31" s="63" t="n">
        <v>1</v>
      </c>
    </row>
    <row r="32" ht="18" customHeight="1">
      <c r="A32" s="69">
        <f>IF($I32&lt;=$B$9,"A",IF($I32&lt;=$B$10,"B","C"))</f>
        <v/>
      </c>
      <c r="B32" s="70" t="inlineStr">
        <is>
          <t>SKU21</t>
        </is>
      </c>
      <c r="C32" s="70" t="n">
        <v>23</v>
      </c>
      <c r="D32" s="71" t="inlineStr">
        <is>
          <t>Pilhas AA (Pacote)</t>
        </is>
      </c>
      <c r="E32" s="52" t="n">
        <v>300</v>
      </c>
      <c r="F32" s="53" t="n">
        <v>12</v>
      </c>
      <c r="G32" s="72">
        <f>IFERROR(E32*F32,0)</f>
        <v/>
      </c>
      <c r="H32" s="73">
        <f>IFERROR(G32/SUM($G$12:$G$41),0)</f>
        <v/>
      </c>
      <c r="I32" s="73">
        <f>IFERROR(SUMIF($G$12:$G$41,"&gt;="&amp;G32,$G$12:$G$41)/SUM($G$12:$G$41),0)</f>
        <v/>
      </c>
      <c r="P32" s="56" t="inlineStr">
        <is>
          <t>C — SKU21 — Pilhas AA (Pacote)</t>
        </is>
      </c>
      <c r="Q32" s="57" t="n">
        <v>0</v>
      </c>
      <c r="R32" s="58" t="n">
        <v>0</v>
      </c>
      <c r="S32" s="59" t="n">
        <v>0.00347</v>
      </c>
      <c r="T32" s="60" t="n">
        <v>0.98236</v>
      </c>
      <c r="U32" s="61" t="n">
        <v>0</v>
      </c>
      <c r="V32" s="62" t="n">
        <v>0</v>
      </c>
      <c r="W32" s="63" t="n">
        <v>1</v>
      </c>
    </row>
    <row r="33" ht="18" customHeight="1">
      <c r="A33" s="69">
        <f>IF($I33&lt;=$B$9,"A",IF($I33&lt;=$B$10,"B","C"))</f>
        <v/>
      </c>
      <c r="B33" s="70" t="inlineStr">
        <is>
          <t>SKU22</t>
        </is>
      </c>
      <c r="C33" s="70" t="n">
        <v>16</v>
      </c>
      <c r="D33" s="71" t="inlineStr">
        <is>
          <t>Adaptador USB-C</t>
        </is>
      </c>
      <c r="E33" s="52" t="n">
        <v>90</v>
      </c>
      <c r="F33" s="53" t="n">
        <v>35</v>
      </c>
      <c r="G33" s="72">
        <f>IFERROR(E33*F33,0)</f>
        <v/>
      </c>
      <c r="H33" s="73">
        <f>IFERROR(G33/SUM($G$12:$G$41),0)</f>
        <v/>
      </c>
      <c r="I33" s="73">
        <f>IFERROR(SUMIF($G$12:$G$41,"&gt;="&amp;G33,$G$12:$G$41)/SUM($G$12:$G$41),0)</f>
        <v/>
      </c>
      <c r="P33" s="56" t="inlineStr">
        <is>
          <t>C — SKU22 — Adaptador USB-C</t>
        </is>
      </c>
      <c r="Q33" s="57" t="n">
        <v>0</v>
      </c>
      <c r="R33" s="58" t="n">
        <v>0</v>
      </c>
      <c r="S33" s="59" t="n">
        <v>0.00303</v>
      </c>
      <c r="T33" s="60" t="n">
        <v>0.98539</v>
      </c>
      <c r="U33" s="61" t="n">
        <v>0</v>
      </c>
      <c r="V33" s="62" t="n">
        <v>0</v>
      </c>
      <c r="W33" s="63" t="n">
        <v>1</v>
      </c>
    </row>
    <row r="34" ht="18" customHeight="1">
      <c r="A34" s="69">
        <f>IF($I34&lt;=$B$9,"A",IF($I34&lt;=$B$10,"B","C"))</f>
        <v/>
      </c>
      <c r="B34" s="70" t="inlineStr">
        <is>
          <t>SKU23</t>
        </is>
      </c>
      <c r="C34" s="70" t="n">
        <v>28</v>
      </c>
      <c r="D34" s="71" t="inlineStr">
        <is>
          <t>Suporte para Monitor</t>
        </is>
      </c>
      <c r="E34" s="52" t="n">
        <v>20</v>
      </c>
      <c r="F34" s="53" t="n">
        <v>140</v>
      </c>
      <c r="G34" s="72">
        <f>IFERROR(E34*F34,0)</f>
        <v/>
      </c>
      <c r="H34" s="73">
        <f>IFERROR(G34/SUM($G$12:$G$41),0)</f>
        <v/>
      </c>
      <c r="I34" s="73">
        <f>IFERROR(SUMIF($G$12:$G$41,"&gt;="&amp;G34,$G$12:$G$41)/SUM($G$12:$G$41),0)</f>
        <v/>
      </c>
      <c r="P34" s="56" t="inlineStr">
        <is>
          <t>C — SKU23 — Suporte para Monitor</t>
        </is>
      </c>
      <c r="Q34" s="57" t="n">
        <v>0</v>
      </c>
      <c r="R34" s="58" t="n">
        <v>0</v>
      </c>
      <c r="S34" s="59" t="n">
        <v>0.0027</v>
      </c>
      <c r="T34" s="60" t="n">
        <v>0.98809</v>
      </c>
      <c r="U34" s="61" t="n">
        <v>0</v>
      </c>
      <c r="V34" s="62" t="n">
        <v>0</v>
      </c>
      <c r="W34" s="63" t="n">
        <v>1</v>
      </c>
    </row>
    <row r="35" ht="18" customHeight="1">
      <c r="A35" s="69">
        <f>IF($I35&lt;=$B$9,"A",IF($I35&lt;=$B$10,"B","C"))</f>
        <v/>
      </c>
      <c r="B35" s="70" t="inlineStr">
        <is>
          <t>SKU24</t>
        </is>
      </c>
      <c r="C35" s="70" t="n">
        <v>1</v>
      </c>
      <c r="D35" s="71" t="inlineStr">
        <is>
          <t>Cabo HDMI 2m</t>
        </is>
      </c>
      <c r="E35" s="52" t="n">
        <v>85</v>
      </c>
      <c r="F35" s="53" t="n">
        <v>25</v>
      </c>
      <c r="G35" s="72">
        <f>IFERROR(E35*F35,0)</f>
        <v/>
      </c>
      <c r="H35" s="73">
        <f>IFERROR(G35/SUM($G$12:$G$41),0)</f>
        <v/>
      </c>
      <c r="I35" s="73">
        <f>IFERROR(SUMIF($G$12:$G$41,"&gt;="&amp;G35,$G$12:$G$41)/SUM($G$12:$G$41),0)</f>
        <v/>
      </c>
      <c r="P35" s="56" t="inlineStr">
        <is>
          <t>C — SKU24 — Cabo HDMI 2m</t>
        </is>
      </c>
      <c r="Q35" s="57" t="n">
        <v>0</v>
      </c>
      <c r="R35" s="58" t="n">
        <v>0</v>
      </c>
      <c r="S35" s="59" t="n">
        <v>0.00205</v>
      </c>
      <c r="T35" s="60" t="n">
        <v>0.99013</v>
      </c>
      <c r="U35" s="61" t="n">
        <v>0</v>
      </c>
      <c r="V35" s="62" t="n">
        <v>0</v>
      </c>
      <c r="W35" s="63" t="n">
        <v>1</v>
      </c>
    </row>
    <row r="36" ht="18" customHeight="1">
      <c r="A36" s="69">
        <f>IF($I36&lt;=$B$9,"A",IF($I36&lt;=$B$10,"B","C"))</f>
        <v/>
      </c>
      <c r="B36" s="70" t="inlineStr">
        <is>
          <t>SKU25</t>
        </is>
      </c>
      <c r="C36" s="70" t="n">
        <v>24</v>
      </c>
      <c r="D36" s="71" t="inlineStr">
        <is>
          <t>Mousepad Simples</t>
        </is>
      </c>
      <c r="E36" s="52" t="n">
        <v>250</v>
      </c>
      <c r="F36" s="53" t="n">
        <v>8</v>
      </c>
      <c r="G36" s="72">
        <f>IFERROR(E36*F36,0)</f>
        <v/>
      </c>
      <c r="H36" s="73">
        <f>IFERROR(G36/SUM($G$12:$G$41),0)</f>
        <v/>
      </c>
      <c r="I36" s="73">
        <f>IFERROR(SUMIF($G$12:$G$41,"&gt;="&amp;G36,$G$12:$G$41)/SUM($G$12:$G$41),0)</f>
        <v/>
      </c>
      <c r="P36" s="56" t="inlineStr">
        <is>
          <t>C — SKU25 — Mousepad Simples</t>
        </is>
      </c>
      <c r="Q36" s="57" t="n">
        <v>0</v>
      </c>
      <c r="R36" s="58" t="n">
        <v>0</v>
      </c>
      <c r="S36" s="59" t="n">
        <v>0.00193</v>
      </c>
      <c r="T36" s="60" t="n">
        <v>0.9920600000000001</v>
      </c>
      <c r="U36" s="61" t="n">
        <v>0</v>
      </c>
      <c r="V36" s="62" t="n">
        <v>0</v>
      </c>
      <c r="W36" s="63" t="n">
        <v>1</v>
      </c>
    </row>
    <row r="37" ht="18" customHeight="1">
      <c r="A37" s="69">
        <f>IF($I37&lt;=$B$9,"A",IF($I37&lt;=$B$10,"B","C"))</f>
        <v/>
      </c>
      <c r="B37" s="70" t="inlineStr">
        <is>
          <t>SKU26</t>
        </is>
      </c>
      <c r="C37" s="70" t="n">
        <v>3</v>
      </c>
      <c r="D37" s="71" t="inlineStr">
        <is>
          <t>Mouse Optico Simples</t>
        </is>
      </c>
      <c r="E37" s="52" t="n">
        <v>120</v>
      </c>
      <c r="F37" s="53" t="n">
        <v>15</v>
      </c>
      <c r="G37" s="72">
        <f>IFERROR(E37*F37,0)</f>
        <v/>
      </c>
      <c r="H37" s="73">
        <f>IFERROR(G37/SUM($G$12:$G$41),0)</f>
        <v/>
      </c>
      <c r="I37" s="73">
        <f>IFERROR(SUMIF($G$12:$G$41,"&gt;="&amp;G37,$G$12:$G$41)/SUM($G$12:$G$41),0)</f>
        <v/>
      </c>
      <c r="P37" s="56" t="inlineStr">
        <is>
          <t>C — SKU26 — Mouse Optico Simples</t>
        </is>
      </c>
      <c r="Q37" s="57" t="n">
        <v>0</v>
      </c>
      <c r="R37" s="58" t="n">
        <v>0</v>
      </c>
      <c r="S37" s="59" t="n">
        <v>0.00173</v>
      </c>
      <c r="T37" s="60" t="n">
        <v>0.99379</v>
      </c>
      <c r="U37" s="61" t="n">
        <v>0</v>
      </c>
      <c r="V37" s="62" t="n">
        <v>0</v>
      </c>
      <c r="W37" s="63" t="n">
        <v>1</v>
      </c>
    </row>
    <row r="38" ht="18" customHeight="1">
      <c r="A38" s="69">
        <f>IF($I38&lt;=$B$9,"A",IF($I38&lt;=$B$10,"B","C"))</f>
        <v/>
      </c>
      <c r="B38" s="70" t="inlineStr">
        <is>
          <t>SKU27</t>
        </is>
      </c>
      <c r="C38" s="70" t="n">
        <v>25</v>
      </c>
      <c r="D38" s="71" t="inlineStr">
        <is>
          <t>Organizador de Cabos</t>
        </is>
      </c>
      <c r="E38" s="52" t="n">
        <v>180</v>
      </c>
      <c r="F38" s="53" t="n">
        <v>10</v>
      </c>
      <c r="G38" s="72">
        <f>IFERROR(E38*F38,0)</f>
        <v/>
      </c>
      <c r="H38" s="73">
        <f>IFERROR(G38/SUM($G$12:$G$41),0)</f>
        <v/>
      </c>
      <c r="I38" s="73">
        <f>IFERROR(SUMIF($G$12:$G$41,"&gt;="&amp;G38,$G$12:$G$41)/SUM($G$12:$G$41),0)</f>
        <v/>
      </c>
      <c r="P38" s="56" t="inlineStr">
        <is>
          <t>C — SKU27 — Organizador de Cabos</t>
        </is>
      </c>
      <c r="Q38" s="57" t="n">
        <v>0</v>
      </c>
      <c r="R38" s="58" t="n">
        <v>0</v>
      </c>
      <c r="S38" s="59" t="n">
        <v>0.00173</v>
      </c>
      <c r="T38" s="60" t="n">
        <v>0.99552</v>
      </c>
      <c r="U38" s="61" t="n">
        <v>0</v>
      </c>
      <c r="V38" s="62" t="n">
        <v>0</v>
      </c>
      <c r="W38" s="63" t="n">
        <v>1</v>
      </c>
    </row>
    <row r="39" ht="18" customHeight="1">
      <c r="A39" s="69">
        <f>IF($I39&lt;=$B$9,"A",IF($I39&lt;=$B$10,"B","C"))</f>
        <v/>
      </c>
      <c r="B39" s="70" t="inlineStr">
        <is>
          <t>SKU28</t>
        </is>
      </c>
      <c r="C39" s="70" t="n">
        <v>27</v>
      </c>
      <c r="D39" s="71" t="inlineStr">
        <is>
          <t>Ar comprimido (Lata)</t>
        </is>
      </c>
      <c r="E39" s="52" t="n">
        <v>35</v>
      </c>
      <c r="F39" s="53" t="n">
        <v>45</v>
      </c>
      <c r="G39" s="72">
        <f>IFERROR(E39*F39,0)</f>
        <v/>
      </c>
      <c r="H39" s="73">
        <f>IFERROR(G39/SUM($G$12:$G$41),0)</f>
        <v/>
      </c>
      <c r="I39" s="73">
        <f>IFERROR(SUMIF($G$12:$G$41,"&gt;="&amp;G39,$G$12:$G$41)/SUM($G$12:$G$41),0)</f>
        <v/>
      </c>
      <c r="P39" s="56" t="inlineStr">
        <is>
          <t>C — SKU28 — Ar comprimido (Lata)</t>
        </is>
      </c>
      <c r="Q39" s="57" t="n">
        <v>0</v>
      </c>
      <c r="R39" s="58" t="n">
        <v>0</v>
      </c>
      <c r="S39" s="59" t="n">
        <v>0.00152</v>
      </c>
      <c r="T39" s="60" t="n">
        <v>0.99704</v>
      </c>
      <c r="U39" s="61" t="n">
        <v>0</v>
      </c>
      <c r="V39" s="62" t="n">
        <v>0</v>
      </c>
      <c r="W39" s="63" t="n">
        <v>1</v>
      </c>
    </row>
    <row r="40" ht="18" customHeight="1">
      <c r="A40" s="69">
        <f>IF($I40&lt;=$B$9,"A",IF($I40&lt;=$B$10,"B","C"))</f>
        <v/>
      </c>
      <c r="B40" s="70" t="inlineStr">
        <is>
          <t>SKU29</t>
        </is>
      </c>
      <c r="C40" s="70" t="n">
        <v>26</v>
      </c>
      <c r="D40" s="71" t="inlineStr">
        <is>
          <t>Pasta Termica</t>
        </is>
      </c>
      <c r="E40" s="52" t="n">
        <v>45</v>
      </c>
      <c r="F40" s="53" t="n">
        <v>35</v>
      </c>
      <c r="G40" s="72">
        <f>IFERROR(E40*F40,0)</f>
        <v/>
      </c>
      <c r="H40" s="73">
        <f>IFERROR(G40/SUM($G$12:$G$41),0)</f>
        <v/>
      </c>
      <c r="I40" s="73">
        <f>IFERROR(SUMIF($G$12:$G$41,"&gt;="&amp;G40,$G$12:$G$41)/SUM($G$12:$G$41),0)</f>
        <v/>
      </c>
      <c r="P40" s="56" t="inlineStr">
        <is>
          <t>C — SKU29 — Pasta Termica</t>
        </is>
      </c>
      <c r="Q40" s="57" t="n">
        <v>0</v>
      </c>
      <c r="R40" s="58" t="n">
        <v>0</v>
      </c>
      <c r="S40" s="59" t="n">
        <v>0.00152</v>
      </c>
      <c r="T40" s="60" t="n">
        <v>0.99856</v>
      </c>
      <c r="U40" s="61" t="n">
        <v>0</v>
      </c>
      <c r="V40" s="62" t="n">
        <v>0</v>
      </c>
      <c r="W40" s="63" t="n">
        <v>1</v>
      </c>
    </row>
    <row r="41" ht="18" customHeight="1">
      <c r="A41" s="69">
        <f>IF($I41&lt;=$B$9,"A",IF($I41&lt;=$B$10,"B","C"))</f>
        <v/>
      </c>
      <c r="B41" s="70" t="inlineStr">
        <is>
          <t>SKU30</t>
        </is>
      </c>
      <c r="C41" s="70" t="n">
        <v>30</v>
      </c>
      <c r="D41" s="71" t="inlineStr">
        <is>
          <t>Conector RJ45 (Cento)</t>
        </is>
      </c>
      <c r="E41" s="52" t="n">
        <v>50</v>
      </c>
      <c r="F41" s="53" t="n">
        <v>30</v>
      </c>
      <c r="G41" s="72">
        <f>IFERROR(E41*F41,0)</f>
        <v/>
      </c>
      <c r="H41" s="73">
        <f>IFERROR(G41/SUM($G$12:$G$41),0)</f>
        <v/>
      </c>
      <c r="I41" s="73">
        <f>IFERROR(SUMIF($G$12:$G$41,"&gt;="&amp;G41,$G$12:$G$41)/SUM($G$12:$G$41),0)</f>
        <v/>
      </c>
      <c r="P41" s="56" t="inlineStr">
        <is>
          <t>C — SKU30 — Conector RJ45 (Cento</t>
        </is>
      </c>
      <c r="Q41" s="57" t="n">
        <v>0</v>
      </c>
      <c r="R41" s="58" t="n">
        <v>0</v>
      </c>
      <c r="S41" s="59" t="n">
        <v>0.00144</v>
      </c>
      <c r="T41" s="60" t="n">
        <v>1</v>
      </c>
      <c r="U41" s="61" t="n">
        <v>0</v>
      </c>
      <c r="V41" s="62" t="n">
        <v>0</v>
      </c>
      <c r="W41" s="63" t="n">
        <v>1</v>
      </c>
    </row>
    <row r="42" ht="24" customHeight="1">
      <c r="A42" s="74" t="inlineStr">
        <is>
          <t>TOTAL GERAL</t>
        </is>
      </c>
      <c r="B42" s="75" t="n"/>
      <c r="C42" s="75" t="n"/>
      <c r="D42" s="75" t="n"/>
      <c r="E42" s="76">
        <f>SUM(E12:E41)</f>
        <v/>
      </c>
      <c r="F42" s="77" t="n"/>
      <c r="G42" s="78">
        <f>SUM(G12:G41)</f>
        <v/>
      </c>
      <c r="H42" s="79" t="n">
        <v>1</v>
      </c>
      <c r="I42" s="79" t="n">
        <v>1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F0B1"/>
  <mergeCells count="21">
    <mergeCell ref="C6:D6"/>
    <mergeCell ref="C5:D5"/>
    <mergeCell ref="E5:F5"/>
    <mergeCell ref="J1:N1"/>
    <mergeCell ref="A6:B6"/>
    <mergeCell ref="C4:D4"/>
    <mergeCell ref="E4:F4"/>
    <mergeCell ref="A42:D42"/>
    <mergeCell ref="A8:I8"/>
    <mergeCell ref="G6:H6"/>
    <mergeCell ref="A3:B3"/>
    <mergeCell ref="G3:H3"/>
    <mergeCell ref="E6:F6"/>
    <mergeCell ref="A5:B5"/>
    <mergeCell ref="G5:H5"/>
    <mergeCell ref="A4:B4"/>
    <mergeCell ref="G4:H4"/>
    <mergeCell ref="A1:I1"/>
    <mergeCell ref="K8:N8"/>
    <mergeCell ref="C3:D3"/>
    <mergeCell ref="E3:F3"/>
  </mergeCells>
  <conditionalFormatting sqref="A12:I41">
    <cfRule type="expression" priority="1" dxfId="0">
      <formula>$A12="A"</formula>
    </cfRule>
    <cfRule type="expression" priority="2" dxfId="1">
      <formula>$A12="B"</formula>
    </cfRule>
    <cfRule type="expression" priority="3" dxfId="2">
      <formula>$A12="C"</formula>
    </cfRule>
  </conditionalFormatting>
  <dataValidations count="2">
    <dataValidation sqref="B9" showDropDown="0" showInputMessage="1" showErrorMessage="1" allowBlank="0" errorTitle="❌ Valor Inválido — Tente Novamente" error="Digite um valor entre 0,50 e 0,89 (ex: 0,80 para 80%)" promptTitle="ℹ️ Dica de Preenchimento" prompt="Digite um percentual decimal (ex: 0,80 para 80%)" type="decimal" operator="between">
      <formula1>0.5</formula1>
      <formula2>0.99</formula2>
    </dataValidation>
    <dataValidation sqref="B10" showDropDown="0" showInputMessage="1" showErrorMessage="1" allowBlank="0" errorTitle="❌ Valor Inválido — Tente Novamente" error="Digite um valor entre 0,50 e 0,99 (ex: 0,95 para 95%)" promptTitle="ℹ️ Dica de Preenchimento" prompt="Digite um percentual decimal (ex: 0,80 para 80%)" type="decimal" operator="between">
      <formula1>0.5</formula1>
      <formula2>0.99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C8A400"/>
    <outlinePr summaryBelow="1" summaryRight="1"/>
    <pageSetUpPr/>
  </sheetPr>
  <dimension ref="A1:AG47"/>
  <sheetViews>
    <sheetView workbookViewId="0">
      <selection activeCell="A1" sqref="A1"/>
    </sheetView>
  </sheetViews>
  <sheetFormatPr baseColWidth="8" defaultRowHeight="15"/>
  <cols>
    <col width="5.2" customWidth="1" min="1" max="1"/>
    <col width="5.2" customWidth="1" min="2" max="2"/>
    <col width="5.2" customWidth="1" min="3" max="3"/>
    <col width="5.2" customWidth="1" min="4" max="4"/>
    <col width="5.2" customWidth="1" min="5" max="5"/>
    <col width="5.2" customWidth="1" min="6" max="6"/>
    <col width="5.2" customWidth="1" min="7" max="7"/>
    <col width="1.5" customWidth="1" min="8" max="8"/>
    <col width="5.2" customWidth="1" min="9" max="9"/>
    <col width="5.2" customWidth="1" min="10" max="10"/>
    <col width="5.2" customWidth="1" min="11" max="11"/>
    <col width="5.2" customWidth="1" min="12" max="12"/>
    <col width="5.2" customWidth="1" min="13" max="13"/>
    <col width="5.2" customWidth="1" min="14" max="14"/>
    <col width="5.2" customWidth="1" min="15" max="15"/>
    <col width="1.5" customWidth="1" min="16" max="16"/>
    <col width="5.2" customWidth="1" min="17" max="17"/>
    <col width="5.2" customWidth="1" min="18" max="18"/>
    <col width="5.2" customWidth="1" min="19" max="19"/>
    <col width="5.2" customWidth="1" min="20" max="20"/>
    <col width="5.2" customWidth="1" min="21" max="21"/>
    <col width="5.2" customWidth="1" min="22" max="22"/>
    <col width="5.2" customWidth="1" min="23" max="23"/>
    <col width="1.5" customWidth="1" min="24" max="24"/>
    <col width="5.2" customWidth="1" min="25" max="25"/>
    <col width="5.2" customWidth="1" min="26" max="26"/>
    <col width="5.2" customWidth="1" min="27" max="27"/>
    <col width="5.2" customWidth="1" min="28" max="28"/>
    <col width="5.2" customWidth="1" min="29" max="29"/>
    <col width="5.2" customWidth="1" min="30" max="30"/>
    <col width="5.2" customWidth="1" min="31" max="31"/>
    <col width="1.5" customWidth="1" min="32" max="32"/>
    <col width="5.2" customWidth="1" min="33" max="33"/>
  </cols>
  <sheetData>
    <row r="1" ht="10" customHeight="1">
      <c r="A1" s="4" t="n"/>
      <c r="B1" s="3" t="n"/>
      <c r="C1" s="5" t="n"/>
      <c r="D1" s="6" t="n"/>
      <c r="E1" s="4" t="n"/>
      <c r="F1" s="3" t="n"/>
      <c r="G1" s="5" t="n"/>
      <c r="H1" s="6" t="n"/>
      <c r="I1" s="4" t="n"/>
      <c r="J1" s="3" t="n"/>
      <c r="K1" s="5" t="n"/>
      <c r="L1" s="6" t="n"/>
      <c r="M1" s="4" t="n"/>
      <c r="N1" s="3" t="n"/>
      <c r="O1" s="5" t="n"/>
      <c r="P1" s="6" t="n"/>
      <c r="Q1" s="4" t="n"/>
      <c r="R1" s="3" t="n"/>
      <c r="S1" s="5" t="n"/>
      <c r="T1" s="6" t="n"/>
      <c r="U1" s="4" t="n"/>
      <c r="V1" s="3" t="n"/>
      <c r="W1" s="5" t="n"/>
      <c r="X1" s="6" t="n"/>
      <c r="Y1" s="4" t="n"/>
      <c r="Z1" s="3" t="n"/>
      <c r="AA1" s="5" t="n"/>
      <c r="AB1" s="6" t="n"/>
      <c r="AC1" s="4" t="n"/>
      <c r="AD1" s="3" t="n"/>
      <c r="AE1" s="5" t="n"/>
      <c r="AF1" s="6" t="n"/>
      <c r="AG1" s="4" t="n"/>
    </row>
    <row r="2" ht="54" customHeight="1">
      <c r="A2" s="80" t="inlineStr">
        <is>
          <t>🇯🇲  CALENDÁRIO 2026  —  One Love, One Excel! ✌️</t>
        </is>
      </c>
      <c r="AG2" s="81" t="n"/>
    </row>
    <row r="3" ht="10" customHeight="1">
      <c r="A3" s="5" t="n"/>
      <c r="B3" s="3" t="n"/>
      <c r="C3" s="4" t="n"/>
      <c r="D3" s="6" t="n"/>
      <c r="E3" s="5" t="n"/>
      <c r="F3" s="3" t="n"/>
      <c r="G3" s="4" t="n"/>
      <c r="H3" s="6" t="n"/>
      <c r="I3" s="5" t="n"/>
      <c r="J3" s="3" t="n"/>
      <c r="K3" s="4" t="n"/>
      <c r="L3" s="6" t="n"/>
      <c r="M3" s="5" t="n"/>
      <c r="N3" s="3" t="n"/>
      <c r="O3" s="4" t="n"/>
      <c r="P3" s="6" t="n"/>
      <c r="Q3" s="5" t="n"/>
      <c r="R3" s="3" t="n"/>
      <c r="S3" s="4" t="n"/>
      <c r="T3" s="6" t="n"/>
      <c r="U3" s="5" t="n"/>
      <c r="V3" s="3" t="n"/>
      <c r="W3" s="4" t="n"/>
      <c r="X3" s="6" t="n"/>
      <c r="Y3" s="5" t="n"/>
      <c r="Z3" s="3" t="n"/>
      <c r="AA3" s="4" t="n"/>
      <c r="AB3" s="6" t="n"/>
      <c r="AC3" s="5" t="n"/>
      <c r="AD3" s="3" t="n"/>
      <c r="AE3" s="4" t="n"/>
      <c r="AF3" s="6" t="n"/>
      <c r="AG3" s="5" t="n"/>
    </row>
    <row r="4" ht="8" customHeight="1">
      <c r="A4" s="81" t="n"/>
      <c r="B4" s="81" t="n"/>
      <c r="C4" s="81" t="n"/>
      <c r="D4" s="81" t="n"/>
      <c r="E4" s="81" t="n"/>
      <c r="F4" s="81" t="n"/>
      <c r="G4" s="81" t="n"/>
      <c r="H4" s="81" t="n"/>
      <c r="I4" s="81" t="n"/>
      <c r="J4" s="81" t="n"/>
      <c r="K4" s="81" t="n"/>
      <c r="L4" s="81" t="n"/>
      <c r="M4" s="81" t="n"/>
      <c r="N4" s="81" t="n"/>
      <c r="O4" s="81" t="n"/>
      <c r="P4" s="81" t="n"/>
      <c r="Q4" s="81" t="n"/>
      <c r="R4" s="81" t="n"/>
      <c r="S4" s="81" t="n"/>
      <c r="T4" s="81" t="n"/>
      <c r="U4" s="81" t="n"/>
      <c r="V4" s="81" t="n"/>
      <c r="W4" s="81" t="n"/>
      <c r="X4" s="81" t="n"/>
      <c r="Y4" s="81" t="n"/>
      <c r="Z4" s="81" t="n"/>
      <c r="AA4" s="81" t="n"/>
      <c r="AB4" s="81" t="n"/>
      <c r="AC4" s="81" t="n"/>
      <c r="AD4" s="81" t="n"/>
      <c r="AE4" s="81" t="n"/>
      <c r="AF4" s="81" t="n"/>
      <c r="AG4" s="81" t="n"/>
    </row>
    <row r="5" ht="18" customHeight="1">
      <c r="A5" s="82" t="inlineStr">
        <is>
          <t>🟢 Itens Classe A — revisar diariamente   |   🟡 Itens Classe B — revisar semanalmente   |   🔴 Itens Classe C — revisar mensalmente</t>
        </is>
      </c>
      <c r="Q5" s="81" t="n"/>
      <c r="R5" s="81" t="n"/>
      <c r="S5" s="81" t="n"/>
      <c r="T5" s="81" t="n"/>
      <c r="U5" s="81" t="n"/>
      <c r="V5" s="81" t="n"/>
      <c r="W5" s="81" t="n"/>
      <c r="X5" s="81" t="n"/>
      <c r="Y5" s="81" t="n"/>
      <c r="Z5" s="81" t="n"/>
      <c r="AA5" s="81" t="n"/>
      <c r="AB5" s="81" t="n"/>
      <c r="AC5" s="81" t="n"/>
      <c r="AD5" s="81" t="n"/>
      <c r="AE5" s="81" t="n"/>
      <c r="AF5" s="81" t="n"/>
      <c r="AG5" s="81" t="n"/>
    </row>
    <row r="6" ht="6" customHeight="1">
      <c r="A6" s="81" t="n"/>
      <c r="B6" s="81" t="n"/>
      <c r="C6" s="81" t="n"/>
      <c r="D6" s="81" t="n"/>
      <c r="E6" s="81" t="n"/>
      <c r="F6" s="81" t="n"/>
      <c r="G6" s="81" t="n"/>
      <c r="H6" s="81" t="n"/>
      <c r="I6" s="81" t="n"/>
      <c r="J6" s="81" t="n"/>
      <c r="K6" s="81" t="n"/>
      <c r="L6" s="81" t="n"/>
      <c r="M6" s="81" t="n"/>
      <c r="N6" s="81" t="n"/>
      <c r="O6" s="81" t="n"/>
      <c r="P6" s="81" t="n"/>
      <c r="Q6" s="81" t="n"/>
      <c r="R6" s="81" t="n"/>
      <c r="S6" s="81" t="n"/>
      <c r="T6" s="81" t="n"/>
      <c r="U6" s="81" t="n"/>
      <c r="V6" s="81" t="n"/>
      <c r="W6" s="81" t="n"/>
      <c r="X6" s="81" t="n"/>
      <c r="Y6" s="81" t="n"/>
      <c r="Z6" s="81" t="n"/>
      <c r="AA6" s="81" t="n"/>
      <c r="AB6" s="81" t="n"/>
      <c r="AC6" s="81" t="n"/>
      <c r="AD6" s="81" t="n"/>
      <c r="AE6" s="81" t="n"/>
      <c r="AF6" s="81" t="n"/>
      <c r="AG6" s="81" t="n"/>
    </row>
    <row r="7" ht="22" customHeight="1">
      <c r="A7" s="83" t="inlineStr">
        <is>
          <t>JANEIRO 2026</t>
        </is>
      </c>
      <c r="H7" s="81" t="n"/>
      <c r="I7" s="83" t="inlineStr">
        <is>
          <t>FEVEREIRO 2026</t>
        </is>
      </c>
      <c r="P7" s="81" t="n"/>
      <c r="Q7" s="83" t="inlineStr">
        <is>
          <t>MARÇO 2026</t>
        </is>
      </c>
      <c r="X7" s="81" t="n"/>
      <c r="Y7" s="84" t="inlineStr">
        <is>
          <t>ABRIL 2026</t>
        </is>
      </c>
      <c r="AF7" s="81" t="n"/>
      <c r="AG7" s="81" t="n"/>
    </row>
    <row r="8" ht="18" customHeight="1">
      <c r="A8" s="85" t="inlineStr">
        <is>
          <t>Seg</t>
        </is>
      </c>
      <c r="B8" s="85" t="inlineStr">
        <is>
          <t>Ter</t>
        </is>
      </c>
      <c r="C8" s="85" t="inlineStr">
        <is>
          <t>Qua</t>
        </is>
      </c>
      <c r="D8" s="85" t="inlineStr">
        <is>
          <t>Qui</t>
        </is>
      </c>
      <c r="E8" s="85" t="inlineStr">
        <is>
          <t>Sex</t>
        </is>
      </c>
      <c r="F8" s="86" t="inlineStr">
        <is>
          <t>Sáb</t>
        </is>
      </c>
      <c r="G8" s="86" t="inlineStr">
        <is>
          <t>Dom</t>
        </is>
      </c>
      <c r="H8" s="81" t="n"/>
      <c r="I8" s="85" t="inlineStr">
        <is>
          <t>Seg</t>
        </is>
      </c>
      <c r="J8" s="85" t="inlineStr">
        <is>
          <t>Ter</t>
        </is>
      </c>
      <c r="K8" s="85" t="inlineStr">
        <is>
          <t>Qua</t>
        </is>
      </c>
      <c r="L8" s="85" t="inlineStr">
        <is>
          <t>Qui</t>
        </is>
      </c>
      <c r="M8" s="85" t="inlineStr">
        <is>
          <t>Sex</t>
        </is>
      </c>
      <c r="N8" s="86" t="inlineStr">
        <is>
          <t>Sáb</t>
        </is>
      </c>
      <c r="O8" s="86" t="inlineStr">
        <is>
          <t>Dom</t>
        </is>
      </c>
      <c r="P8" s="81" t="n"/>
      <c r="Q8" s="85" t="inlineStr">
        <is>
          <t>Seg</t>
        </is>
      </c>
      <c r="R8" s="85" t="inlineStr">
        <is>
          <t>Ter</t>
        </is>
      </c>
      <c r="S8" s="85" t="inlineStr">
        <is>
          <t>Qua</t>
        </is>
      </c>
      <c r="T8" s="85" t="inlineStr">
        <is>
          <t>Qui</t>
        </is>
      </c>
      <c r="U8" s="85" t="inlineStr">
        <is>
          <t>Sex</t>
        </is>
      </c>
      <c r="V8" s="86" t="inlineStr">
        <is>
          <t>Sáb</t>
        </is>
      </c>
      <c r="W8" s="86" t="inlineStr">
        <is>
          <t>Dom</t>
        </is>
      </c>
      <c r="X8" s="81" t="n"/>
      <c r="Y8" s="85" t="inlineStr">
        <is>
          <t>Seg</t>
        </is>
      </c>
      <c r="Z8" s="85" t="inlineStr">
        <is>
          <t>Ter</t>
        </is>
      </c>
      <c r="AA8" s="85" t="inlineStr">
        <is>
          <t>Qua</t>
        </is>
      </c>
      <c r="AB8" s="85" t="inlineStr">
        <is>
          <t>Qui</t>
        </is>
      </c>
      <c r="AC8" s="85" t="inlineStr">
        <is>
          <t>Sex</t>
        </is>
      </c>
      <c r="AD8" s="86" t="inlineStr">
        <is>
          <t>Sáb</t>
        </is>
      </c>
      <c r="AE8" s="86" t="inlineStr">
        <is>
          <t>Dom</t>
        </is>
      </c>
      <c r="AF8" s="81" t="n"/>
      <c r="AG8" s="81" t="n"/>
    </row>
    <row r="9" ht="16" customHeight="1">
      <c r="A9" s="87" t="inlineStr"/>
      <c r="B9" s="87" t="inlineStr"/>
      <c r="C9" s="87" t="inlineStr"/>
      <c r="D9" s="88" t="n">
        <v>1</v>
      </c>
      <c r="E9" s="89" t="n">
        <v>2</v>
      </c>
      <c r="F9" s="90" t="n">
        <v>3</v>
      </c>
      <c r="G9" s="90" t="n">
        <v>4</v>
      </c>
      <c r="H9" s="81" t="n"/>
      <c r="I9" s="87" t="inlineStr"/>
      <c r="J9" s="87" t="inlineStr"/>
      <c r="K9" s="87" t="inlineStr"/>
      <c r="L9" s="87" t="inlineStr"/>
      <c r="M9" s="87" t="inlineStr"/>
      <c r="N9" s="87" t="inlineStr"/>
      <c r="O9" s="91" t="n">
        <v>1</v>
      </c>
      <c r="P9" s="81" t="n"/>
      <c r="Q9" s="87" t="inlineStr"/>
      <c r="R9" s="87" t="inlineStr"/>
      <c r="S9" s="87" t="inlineStr"/>
      <c r="T9" s="87" t="inlineStr"/>
      <c r="U9" s="87" t="inlineStr"/>
      <c r="V9" s="87" t="inlineStr"/>
      <c r="W9" s="91" t="n">
        <v>1</v>
      </c>
      <c r="X9" s="81" t="n"/>
      <c r="Y9" s="87" t="inlineStr"/>
      <c r="Z9" s="87" t="inlineStr"/>
      <c r="AA9" s="88" t="n">
        <v>1</v>
      </c>
      <c r="AB9" s="89" t="n">
        <v>2</v>
      </c>
      <c r="AC9" s="89" t="n">
        <v>3</v>
      </c>
      <c r="AD9" s="90" t="n">
        <v>4</v>
      </c>
      <c r="AE9" s="90" t="n">
        <v>5</v>
      </c>
      <c r="AF9" s="81" t="n"/>
      <c r="AG9" s="81" t="n"/>
    </row>
    <row r="10" ht="16" customHeight="1">
      <c r="A10" s="89" t="n">
        <v>5</v>
      </c>
      <c r="B10" s="89" t="n">
        <v>6</v>
      </c>
      <c r="C10" s="89" t="n">
        <v>7</v>
      </c>
      <c r="D10" s="88" t="n">
        <v>8</v>
      </c>
      <c r="E10" s="89" t="n">
        <v>9</v>
      </c>
      <c r="F10" s="90" t="n">
        <v>10</v>
      </c>
      <c r="G10" s="90" t="n">
        <v>11</v>
      </c>
      <c r="H10" s="81" t="n"/>
      <c r="I10" s="89" t="n">
        <v>2</v>
      </c>
      <c r="J10" s="89" t="n">
        <v>3</v>
      </c>
      <c r="K10" s="89" t="n">
        <v>4</v>
      </c>
      <c r="L10" s="89" t="n">
        <v>5</v>
      </c>
      <c r="M10" s="89" t="n">
        <v>6</v>
      </c>
      <c r="N10" s="90" t="n">
        <v>7</v>
      </c>
      <c r="O10" s="91" t="n">
        <v>8</v>
      </c>
      <c r="P10" s="81" t="n"/>
      <c r="Q10" s="89" t="n">
        <v>2</v>
      </c>
      <c r="R10" s="89" t="n">
        <v>3</v>
      </c>
      <c r="S10" s="89" t="n">
        <v>4</v>
      </c>
      <c r="T10" s="89" t="n">
        <v>5</v>
      </c>
      <c r="U10" s="89" t="n">
        <v>6</v>
      </c>
      <c r="V10" s="90" t="n">
        <v>7</v>
      </c>
      <c r="W10" s="91" t="n">
        <v>8</v>
      </c>
      <c r="X10" s="81" t="n"/>
      <c r="Y10" s="89" t="n">
        <v>6</v>
      </c>
      <c r="Z10" s="89" t="n">
        <v>7</v>
      </c>
      <c r="AA10" s="88" t="n">
        <v>8</v>
      </c>
      <c r="AB10" s="89" t="n">
        <v>9</v>
      </c>
      <c r="AC10" s="89" t="n">
        <v>10</v>
      </c>
      <c r="AD10" s="90" t="n">
        <v>11</v>
      </c>
      <c r="AE10" s="90" t="n">
        <v>12</v>
      </c>
      <c r="AF10" s="81" t="n"/>
      <c r="AG10" s="81" t="n"/>
    </row>
    <row r="11" ht="16" customHeight="1">
      <c r="A11" s="89" t="n">
        <v>12</v>
      </c>
      <c r="B11" s="89" t="n">
        <v>13</v>
      </c>
      <c r="C11" s="89" t="n">
        <v>14</v>
      </c>
      <c r="D11" s="88" t="n">
        <v>15</v>
      </c>
      <c r="E11" s="89" t="n">
        <v>16</v>
      </c>
      <c r="F11" s="90" t="n">
        <v>17</v>
      </c>
      <c r="G11" s="90" t="n">
        <v>18</v>
      </c>
      <c r="H11" s="81" t="n"/>
      <c r="I11" s="89" t="n">
        <v>9</v>
      </c>
      <c r="J11" s="89" t="n">
        <v>10</v>
      </c>
      <c r="K11" s="89" t="n">
        <v>11</v>
      </c>
      <c r="L11" s="89" t="n">
        <v>12</v>
      </c>
      <c r="M11" s="89" t="n">
        <v>13</v>
      </c>
      <c r="N11" s="90" t="n">
        <v>14</v>
      </c>
      <c r="O11" s="91" t="n">
        <v>15</v>
      </c>
      <c r="P11" s="81" t="n"/>
      <c r="Q11" s="89" t="n">
        <v>9</v>
      </c>
      <c r="R11" s="89" t="n">
        <v>10</v>
      </c>
      <c r="S11" s="89" t="n">
        <v>11</v>
      </c>
      <c r="T11" s="89" t="n">
        <v>12</v>
      </c>
      <c r="U11" s="89" t="n">
        <v>13</v>
      </c>
      <c r="V11" s="90" t="n">
        <v>14</v>
      </c>
      <c r="W11" s="91" t="n">
        <v>15</v>
      </c>
      <c r="X11" s="81" t="n"/>
      <c r="Y11" s="89" t="n">
        <v>13</v>
      </c>
      <c r="Z11" s="89" t="n">
        <v>14</v>
      </c>
      <c r="AA11" s="88" t="n">
        <v>15</v>
      </c>
      <c r="AB11" s="89" t="n">
        <v>16</v>
      </c>
      <c r="AC11" s="89" t="n">
        <v>17</v>
      </c>
      <c r="AD11" s="90" t="n">
        <v>18</v>
      </c>
      <c r="AE11" s="90" t="n">
        <v>19</v>
      </c>
      <c r="AF11" s="81" t="n"/>
      <c r="AG11" s="81" t="n"/>
    </row>
    <row r="12" ht="16" customHeight="1">
      <c r="A12" s="89" t="n">
        <v>19</v>
      </c>
      <c r="B12" s="89" t="n">
        <v>20</v>
      </c>
      <c r="C12" s="89" t="n">
        <v>21</v>
      </c>
      <c r="D12" s="88" t="n">
        <v>22</v>
      </c>
      <c r="E12" s="89" t="n">
        <v>23</v>
      </c>
      <c r="F12" s="90" t="n">
        <v>24</v>
      </c>
      <c r="G12" s="90" t="n">
        <v>25</v>
      </c>
      <c r="H12" s="81" t="n"/>
      <c r="I12" s="89" t="n">
        <v>16</v>
      </c>
      <c r="J12" s="89" t="n">
        <v>17</v>
      </c>
      <c r="K12" s="89" t="n">
        <v>18</v>
      </c>
      <c r="L12" s="89" t="n">
        <v>19</v>
      </c>
      <c r="M12" s="89" t="n">
        <v>20</v>
      </c>
      <c r="N12" s="90" t="n">
        <v>21</v>
      </c>
      <c r="O12" s="91" t="n">
        <v>22</v>
      </c>
      <c r="P12" s="81" t="n"/>
      <c r="Q12" s="89" t="n">
        <v>16</v>
      </c>
      <c r="R12" s="89" t="n">
        <v>17</v>
      </c>
      <c r="S12" s="89" t="n">
        <v>18</v>
      </c>
      <c r="T12" s="89" t="n">
        <v>19</v>
      </c>
      <c r="U12" s="89" t="n">
        <v>20</v>
      </c>
      <c r="V12" s="90" t="n">
        <v>21</v>
      </c>
      <c r="W12" s="91" t="n">
        <v>22</v>
      </c>
      <c r="X12" s="81" t="n"/>
      <c r="Y12" s="89" t="n">
        <v>20</v>
      </c>
      <c r="Z12" s="89" t="n">
        <v>21</v>
      </c>
      <c r="AA12" s="88" t="n">
        <v>22</v>
      </c>
      <c r="AB12" s="89" t="n">
        <v>23</v>
      </c>
      <c r="AC12" s="89" t="n">
        <v>24</v>
      </c>
      <c r="AD12" s="90" t="n">
        <v>25</v>
      </c>
      <c r="AE12" s="90" t="n">
        <v>26</v>
      </c>
      <c r="AF12" s="81" t="n"/>
      <c r="AG12" s="81" t="n"/>
    </row>
    <row r="13" ht="16" customHeight="1">
      <c r="A13" s="89" t="n">
        <v>26</v>
      </c>
      <c r="B13" s="89" t="n">
        <v>27</v>
      </c>
      <c r="C13" s="89" t="n">
        <v>28</v>
      </c>
      <c r="D13" s="89" t="n">
        <v>29</v>
      </c>
      <c r="E13" s="89" t="n">
        <v>30</v>
      </c>
      <c r="F13" s="90" t="n">
        <v>31</v>
      </c>
      <c r="G13" s="87" t="inlineStr"/>
      <c r="H13" s="81" t="n"/>
      <c r="I13" s="89" t="n">
        <v>23</v>
      </c>
      <c r="J13" s="89" t="n">
        <v>24</v>
      </c>
      <c r="K13" s="89" t="n">
        <v>25</v>
      </c>
      <c r="L13" s="89" t="n">
        <v>26</v>
      </c>
      <c r="M13" s="89" t="n">
        <v>27</v>
      </c>
      <c r="N13" s="90" t="n">
        <v>28</v>
      </c>
      <c r="O13" s="87" t="inlineStr"/>
      <c r="P13" s="81" t="n"/>
      <c r="Q13" s="89" t="n">
        <v>23</v>
      </c>
      <c r="R13" s="89" t="n">
        <v>24</v>
      </c>
      <c r="S13" s="89" t="n">
        <v>25</v>
      </c>
      <c r="T13" s="89" t="n">
        <v>26</v>
      </c>
      <c r="U13" s="89" t="n">
        <v>27</v>
      </c>
      <c r="V13" s="90" t="n">
        <v>28</v>
      </c>
      <c r="W13" s="90" t="n">
        <v>29</v>
      </c>
      <c r="X13" s="81" t="n"/>
      <c r="Y13" s="89" t="n">
        <v>27</v>
      </c>
      <c r="Z13" s="89" t="n">
        <v>28</v>
      </c>
      <c r="AA13" s="89" t="n">
        <v>29</v>
      </c>
      <c r="AB13" s="89" t="n">
        <v>30</v>
      </c>
      <c r="AC13" s="87" t="inlineStr"/>
      <c r="AD13" s="87" t="inlineStr"/>
      <c r="AE13" s="87" t="inlineStr"/>
      <c r="AF13" s="81" t="n"/>
      <c r="AG13" s="81" t="n"/>
    </row>
    <row r="14" ht="16" customHeight="1">
      <c r="A14" s="87" t="n"/>
      <c r="B14" s="87" t="n"/>
      <c r="C14" s="87" t="n"/>
      <c r="D14" s="87" t="n"/>
      <c r="E14" s="87" t="n"/>
      <c r="F14" s="87" t="n"/>
      <c r="G14" s="87" t="n"/>
      <c r="H14" s="81" t="n"/>
      <c r="I14" s="87" t="n"/>
      <c r="J14" s="87" t="n"/>
      <c r="K14" s="87" t="n"/>
      <c r="L14" s="87" t="n"/>
      <c r="M14" s="87" t="n"/>
      <c r="N14" s="87" t="n"/>
      <c r="O14" s="87" t="n"/>
      <c r="P14" s="81" t="n"/>
      <c r="Q14" s="89" t="n">
        <v>30</v>
      </c>
      <c r="R14" s="89" t="n">
        <v>31</v>
      </c>
      <c r="S14" s="87" t="inlineStr"/>
      <c r="T14" s="87" t="inlineStr"/>
      <c r="U14" s="87" t="inlineStr"/>
      <c r="V14" s="87" t="inlineStr"/>
      <c r="W14" s="87" t="inlineStr"/>
      <c r="X14" s="81" t="n"/>
      <c r="Y14" s="87" t="n"/>
      <c r="Z14" s="87" t="n"/>
      <c r="AA14" s="87" t="n"/>
      <c r="AB14" s="87" t="n"/>
      <c r="AC14" s="87" t="n"/>
      <c r="AD14" s="87" t="n"/>
      <c r="AE14" s="87" t="n"/>
      <c r="AF14" s="81" t="n"/>
      <c r="AG14" s="81" t="n"/>
    </row>
    <row r="15" ht="17" customHeight="1">
      <c r="A15" s="81" t="n"/>
      <c r="B15" s="81" t="n"/>
      <c r="C15" s="81" t="n"/>
      <c r="D15" s="81" t="n"/>
      <c r="E15" s="81" t="n"/>
      <c r="F15" s="81" t="n"/>
      <c r="G15" s="81" t="n"/>
      <c r="H15" s="81" t="n"/>
      <c r="I15" s="81" t="n"/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1" t="n"/>
      <c r="W15" s="81" t="n"/>
      <c r="X15" s="81" t="n"/>
      <c r="Y15" s="81" t="n"/>
      <c r="Z15" s="81" t="n"/>
      <c r="AA15" s="81" t="n"/>
      <c r="AB15" s="81" t="n"/>
      <c r="AC15" s="81" t="n"/>
      <c r="AD15" s="81" t="n"/>
      <c r="AE15" s="81" t="n"/>
      <c r="AF15" s="81" t="n"/>
      <c r="AG15" s="81" t="n"/>
    </row>
    <row r="16" ht="17" customHeight="1">
      <c r="A16" s="81" t="n"/>
      <c r="B16" s="81" t="n"/>
      <c r="C16" s="81" t="n"/>
      <c r="D16" s="81" t="n"/>
      <c r="E16" s="81" t="n"/>
      <c r="F16" s="81" t="n"/>
      <c r="G16" s="81" t="n"/>
      <c r="H16" s="81" t="n"/>
      <c r="I16" s="81" t="n"/>
      <c r="J16" s="81" t="n"/>
      <c r="K16" s="81" t="n"/>
      <c r="L16" s="81" t="n"/>
      <c r="M16" s="81" t="n"/>
      <c r="N16" s="81" t="n"/>
      <c r="O16" s="81" t="n"/>
      <c r="P16" s="81" t="n"/>
      <c r="Q16" s="81" t="n"/>
      <c r="R16" s="81" t="n"/>
      <c r="S16" s="81" t="n"/>
      <c r="T16" s="81" t="n"/>
      <c r="U16" s="81" t="n"/>
      <c r="V16" s="81" t="n"/>
      <c r="W16" s="81" t="n"/>
      <c r="X16" s="81" t="n"/>
      <c r="Y16" s="81" t="n"/>
      <c r="Z16" s="81" t="n"/>
      <c r="AA16" s="81" t="n"/>
      <c r="AB16" s="81" t="n"/>
      <c r="AC16" s="81" t="n"/>
      <c r="AD16" s="81" t="n"/>
      <c r="AE16" s="81" t="n"/>
      <c r="AF16" s="81" t="n"/>
      <c r="AG16" s="81" t="n"/>
    </row>
    <row r="17" ht="17" customHeight="1">
      <c r="A17" s="81" t="n"/>
      <c r="B17" s="81" t="n"/>
      <c r="C17" s="81" t="n"/>
      <c r="D17" s="81" t="n"/>
      <c r="E17" s="81" t="n"/>
      <c r="F17" s="81" t="n"/>
      <c r="G17" s="81" t="n"/>
      <c r="H17" s="81" t="n"/>
      <c r="I17" s="81" t="n"/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1" t="n"/>
      <c r="W17" s="81" t="n"/>
      <c r="X17" s="81" t="n"/>
      <c r="Y17" s="81" t="n"/>
      <c r="Z17" s="81" t="n"/>
      <c r="AA17" s="81" t="n"/>
      <c r="AB17" s="81" t="n"/>
      <c r="AC17" s="81" t="n"/>
      <c r="AD17" s="81" t="n"/>
      <c r="AE17" s="81" t="n"/>
      <c r="AF17" s="81" t="n"/>
      <c r="AG17" s="81" t="n"/>
    </row>
    <row r="18" ht="22" customHeight="1">
      <c r="A18" s="84" t="inlineStr">
        <is>
          <t>MAIO 2026</t>
        </is>
      </c>
      <c r="H18" s="81" t="n"/>
      <c r="I18" s="84" t="inlineStr">
        <is>
          <t>JUNHO 2026</t>
        </is>
      </c>
      <c r="P18" s="81" t="n"/>
      <c r="Q18" s="92" t="inlineStr">
        <is>
          <t>JULHO 2026</t>
        </is>
      </c>
      <c r="X18" s="81" t="n"/>
      <c r="Y18" s="92" t="inlineStr">
        <is>
          <t>AGOSTO 2026</t>
        </is>
      </c>
      <c r="AF18" s="81" t="n"/>
      <c r="AG18" s="81" t="n"/>
    </row>
    <row r="19" ht="18" customHeight="1">
      <c r="A19" s="85" t="inlineStr">
        <is>
          <t>Seg</t>
        </is>
      </c>
      <c r="B19" s="85" t="inlineStr">
        <is>
          <t>Ter</t>
        </is>
      </c>
      <c r="C19" s="85" t="inlineStr">
        <is>
          <t>Qua</t>
        </is>
      </c>
      <c r="D19" s="85" t="inlineStr">
        <is>
          <t>Qui</t>
        </is>
      </c>
      <c r="E19" s="85" t="inlineStr">
        <is>
          <t>Sex</t>
        </is>
      </c>
      <c r="F19" s="86" t="inlineStr">
        <is>
          <t>Sáb</t>
        </is>
      </c>
      <c r="G19" s="86" t="inlineStr">
        <is>
          <t>Dom</t>
        </is>
      </c>
      <c r="H19" s="81" t="n"/>
      <c r="I19" s="85" t="inlineStr">
        <is>
          <t>Seg</t>
        </is>
      </c>
      <c r="J19" s="85" t="inlineStr">
        <is>
          <t>Ter</t>
        </is>
      </c>
      <c r="K19" s="85" t="inlineStr">
        <is>
          <t>Qua</t>
        </is>
      </c>
      <c r="L19" s="85" t="inlineStr">
        <is>
          <t>Qui</t>
        </is>
      </c>
      <c r="M19" s="85" t="inlineStr">
        <is>
          <t>Sex</t>
        </is>
      </c>
      <c r="N19" s="86" t="inlineStr">
        <is>
          <t>Sáb</t>
        </is>
      </c>
      <c r="O19" s="86" t="inlineStr">
        <is>
          <t>Dom</t>
        </is>
      </c>
      <c r="P19" s="81" t="n"/>
      <c r="Q19" s="85" t="inlineStr">
        <is>
          <t>Seg</t>
        </is>
      </c>
      <c r="R19" s="85" t="inlineStr">
        <is>
          <t>Ter</t>
        </is>
      </c>
      <c r="S19" s="85" t="inlineStr">
        <is>
          <t>Qua</t>
        </is>
      </c>
      <c r="T19" s="85" t="inlineStr">
        <is>
          <t>Qui</t>
        </is>
      </c>
      <c r="U19" s="85" t="inlineStr">
        <is>
          <t>Sex</t>
        </is>
      </c>
      <c r="V19" s="86" t="inlineStr">
        <is>
          <t>Sáb</t>
        </is>
      </c>
      <c r="W19" s="86" t="inlineStr">
        <is>
          <t>Dom</t>
        </is>
      </c>
      <c r="X19" s="81" t="n"/>
      <c r="Y19" s="85" t="inlineStr">
        <is>
          <t>Seg</t>
        </is>
      </c>
      <c r="Z19" s="85" t="inlineStr">
        <is>
          <t>Ter</t>
        </is>
      </c>
      <c r="AA19" s="85" t="inlineStr">
        <is>
          <t>Qua</t>
        </is>
      </c>
      <c r="AB19" s="85" t="inlineStr">
        <is>
          <t>Qui</t>
        </is>
      </c>
      <c r="AC19" s="85" t="inlineStr">
        <is>
          <t>Sex</t>
        </is>
      </c>
      <c r="AD19" s="86" t="inlineStr">
        <is>
          <t>Sáb</t>
        </is>
      </c>
      <c r="AE19" s="86" t="inlineStr">
        <is>
          <t>Dom</t>
        </is>
      </c>
      <c r="AF19" s="81" t="n"/>
      <c r="AG19" s="81" t="n"/>
    </row>
    <row r="20" ht="16" customHeight="1">
      <c r="A20" s="87" t="inlineStr"/>
      <c r="B20" s="87" t="inlineStr"/>
      <c r="C20" s="87" t="inlineStr"/>
      <c r="D20" s="87" t="inlineStr"/>
      <c r="E20" s="88" t="n">
        <v>1</v>
      </c>
      <c r="F20" s="90" t="n">
        <v>2</v>
      </c>
      <c r="G20" s="90" t="n">
        <v>3</v>
      </c>
      <c r="H20" s="81" t="n"/>
      <c r="I20" s="88" t="n">
        <v>1</v>
      </c>
      <c r="J20" s="89" t="n">
        <v>2</v>
      </c>
      <c r="K20" s="89" t="n">
        <v>3</v>
      </c>
      <c r="L20" s="89" t="n">
        <v>4</v>
      </c>
      <c r="M20" s="89" t="n">
        <v>5</v>
      </c>
      <c r="N20" s="90" t="n">
        <v>6</v>
      </c>
      <c r="O20" s="90" t="n">
        <v>7</v>
      </c>
      <c r="P20" s="81" t="n"/>
      <c r="Q20" s="87" t="inlineStr"/>
      <c r="R20" s="87" t="inlineStr"/>
      <c r="S20" s="88" t="n">
        <v>1</v>
      </c>
      <c r="T20" s="89" t="n">
        <v>2</v>
      </c>
      <c r="U20" s="89" t="n">
        <v>3</v>
      </c>
      <c r="V20" s="90" t="n">
        <v>4</v>
      </c>
      <c r="W20" s="90" t="n">
        <v>5</v>
      </c>
      <c r="X20" s="81" t="n"/>
      <c r="Y20" s="87" t="inlineStr"/>
      <c r="Z20" s="87" t="inlineStr"/>
      <c r="AA20" s="87" t="inlineStr"/>
      <c r="AB20" s="87" t="inlineStr"/>
      <c r="AC20" s="87" t="inlineStr"/>
      <c r="AD20" s="91" t="n">
        <v>1</v>
      </c>
      <c r="AE20" s="90" t="n">
        <v>2</v>
      </c>
      <c r="AF20" s="81" t="n"/>
      <c r="AG20" s="81" t="n"/>
    </row>
    <row r="21" ht="16" customHeight="1">
      <c r="A21" s="89" t="n">
        <v>4</v>
      </c>
      <c r="B21" s="89" t="n">
        <v>5</v>
      </c>
      <c r="C21" s="89" t="n">
        <v>6</v>
      </c>
      <c r="D21" s="89" t="n">
        <v>7</v>
      </c>
      <c r="E21" s="88" t="n">
        <v>8</v>
      </c>
      <c r="F21" s="90" t="n">
        <v>9</v>
      </c>
      <c r="G21" s="90" t="n">
        <v>10</v>
      </c>
      <c r="H21" s="81" t="n"/>
      <c r="I21" s="88" t="n">
        <v>8</v>
      </c>
      <c r="J21" s="89" t="n">
        <v>9</v>
      </c>
      <c r="K21" s="89" t="n">
        <v>10</v>
      </c>
      <c r="L21" s="89" t="n">
        <v>11</v>
      </c>
      <c r="M21" s="89" t="n">
        <v>12</v>
      </c>
      <c r="N21" s="90" t="n">
        <v>13</v>
      </c>
      <c r="O21" s="90" t="n">
        <v>14</v>
      </c>
      <c r="P21" s="81" t="n"/>
      <c r="Q21" s="89" t="n">
        <v>6</v>
      </c>
      <c r="R21" s="89" t="n">
        <v>7</v>
      </c>
      <c r="S21" s="88" t="n">
        <v>8</v>
      </c>
      <c r="T21" s="89" t="n">
        <v>9</v>
      </c>
      <c r="U21" s="89" t="n">
        <v>10</v>
      </c>
      <c r="V21" s="90" t="n">
        <v>11</v>
      </c>
      <c r="W21" s="90" t="n">
        <v>12</v>
      </c>
      <c r="X21" s="81" t="n"/>
      <c r="Y21" s="89" t="n">
        <v>3</v>
      </c>
      <c r="Z21" s="89" t="n">
        <v>4</v>
      </c>
      <c r="AA21" s="89" t="n">
        <v>5</v>
      </c>
      <c r="AB21" s="89" t="n">
        <v>6</v>
      </c>
      <c r="AC21" s="89" t="n">
        <v>7</v>
      </c>
      <c r="AD21" s="91" t="n">
        <v>8</v>
      </c>
      <c r="AE21" s="90" t="n">
        <v>9</v>
      </c>
      <c r="AF21" s="81" t="n"/>
      <c r="AG21" s="81" t="n"/>
    </row>
    <row r="22" ht="16" customHeight="1">
      <c r="A22" s="89" t="n">
        <v>11</v>
      </c>
      <c r="B22" s="89" t="n">
        <v>12</v>
      </c>
      <c r="C22" s="89" t="n">
        <v>13</v>
      </c>
      <c r="D22" s="89" t="n">
        <v>14</v>
      </c>
      <c r="E22" s="88" t="n">
        <v>15</v>
      </c>
      <c r="F22" s="90" t="n">
        <v>16</v>
      </c>
      <c r="G22" s="90" t="n">
        <v>17</v>
      </c>
      <c r="H22" s="81" t="n"/>
      <c r="I22" s="88" t="n">
        <v>15</v>
      </c>
      <c r="J22" s="89" t="n">
        <v>16</v>
      </c>
      <c r="K22" s="89" t="n">
        <v>17</v>
      </c>
      <c r="L22" s="89" t="n">
        <v>18</v>
      </c>
      <c r="M22" s="89" t="n">
        <v>19</v>
      </c>
      <c r="N22" s="90" t="n">
        <v>20</v>
      </c>
      <c r="O22" s="90" t="n">
        <v>21</v>
      </c>
      <c r="P22" s="81" t="n"/>
      <c r="Q22" s="89" t="n">
        <v>13</v>
      </c>
      <c r="R22" s="89" t="n">
        <v>14</v>
      </c>
      <c r="S22" s="88" t="n">
        <v>15</v>
      </c>
      <c r="T22" s="89" t="n">
        <v>16</v>
      </c>
      <c r="U22" s="89" t="n">
        <v>17</v>
      </c>
      <c r="V22" s="90" t="n">
        <v>18</v>
      </c>
      <c r="W22" s="90" t="n">
        <v>19</v>
      </c>
      <c r="X22" s="81" t="n"/>
      <c r="Y22" s="89" t="n">
        <v>10</v>
      </c>
      <c r="Z22" s="89" t="n">
        <v>11</v>
      </c>
      <c r="AA22" s="89" t="n">
        <v>12</v>
      </c>
      <c r="AB22" s="89" t="n">
        <v>13</v>
      </c>
      <c r="AC22" s="89" t="n">
        <v>14</v>
      </c>
      <c r="AD22" s="91" t="n">
        <v>15</v>
      </c>
      <c r="AE22" s="90" t="n">
        <v>16</v>
      </c>
      <c r="AF22" s="81" t="n"/>
      <c r="AG22" s="81" t="n"/>
    </row>
    <row r="23" ht="16" customHeight="1">
      <c r="A23" s="89" t="n">
        <v>18</v>
      </c>
      <c r="B23" s="89" t="n">
        <v>19</v>
      </c>
      <c r="C23" s="89" t="n">
        <v>20</v>
      </c>
      <c r="D23" s="89" t="n">
        <v>21</v>
      </c>
      <c r="E23" s="88" t="n">
        <v>22</v>
      </c>
      <c r="F23" s="90" t="n">
        <v>23</v>
      </c>
      <c r="G23" s="90" t="n">
        <v>24</v>
      </c>
      <c r="H23" s="81" t="n"/>
      <c r="I23" s="88" t="n">
        <v>22</v>
      </c>
      <c r="J23" s="89" t="n">
        <v>23</v>
      </c>
      <c r="K23" s="89" t="n">
        <v>24</v>
      </c>
      <c r="L23" s="89" t="n">
        <v>25</v>
      </c>
      <c r="M23" s="89" t="n">
        <v>26</v>
      </c>
      <c r="N23" s="90" t="n">
        <v>27</v>
      </c>
      <c r="O23" s="90" t="n">
        <v>28</v>
      </c>
      <c r="P23" s="81" t="n"/>
      <c r="Q23" s="89" t="n">
        <v>20</v>
      </c>
      <c r="R23" s="89" t="n">
        <v>21</v>
      </c>
      <c r="S23" s="88" t="n">
        <v>22</v>
      </c>
      <c r="T23" s="89" t="n">
        <v>23</v>
      </c>
      <c r="U23" s="89" t="n">
        <v>24</v>
      </c>
      <c r="V23" s="90" t="n">
        <v>25</v>
      </c>
      <c r="W23" s="90" t="n">
        <v>26</v>
      </c>
      <c r="X23" s="81" t="n"/>
      <c r="Y23" s="89" t="n">
        <v>17</v>
      </c>
      <c r="Z23" s="89" t="n">
        <v>18</v>
      </c>
      <c r="AA23" s="89" t="n">
        <v>19</v>
      </c>
      <c r="AB23" s="89" t="n">
        <v>20</v>
      </c>
      <c r="AC23" s="89" t="n">
        <v>21</v>
      </c>
      <c r="AD23" s="91" t="n">
        <v>22</v>
      </c>
      <c r="AE23" s="90" t="n">
        <v>23</v>
      </c>
      <c r="AF23" s="81" t="n"/>
      <c r="AG23" s="81" t="n"/>
    </row>
    <row r="24" ht="16" customHeight="1">
      <c r="A24" s="89" t="n">
        <v>25</v>
      </c>
      <c r="B24" s="89" t="n">
        <v>26</v>
      </c>
      <c r="C24" s="89" t="n">
        <v>27</v>
      </c>
      <c r="D24" s="89" t="n">
        <v>28</v>
      </c>
      <c r="E24" s="89" t="n">
        <v>29</v>
      </c>
      <c r="F24" s="90" t="n">
        <v>30</v>
      </c>
      <c r="G24" s="90" t="n">
        <v>31</v>
      </c>
      <c r="H24" s="81" t="n"/>
      <c r="I24" s="89" t="n">
        <v>29</v>
      </c>
      <c r="J24" s="89" t="n">
        <v>30</v>
      </c>
      <c r="K24" s="87" t="inlineStr"/>
      <c r="L24" s="87" t="inlineStr"/>
      <c r="M24" s="87" t="inlineStr"/>
      <c r="N24" s="87" t="inlineStr"/>
      <c r="O24" s="87" t="inlineStr"/>
      <c r="P24" s="81" t="n"/>
      <c r="Q24" s="89" t="n">
        <v>27</v>
      </c>
      <c r="R24" s="89" t="n">
        <v>28</v>
      </c>
      <c r="S24" s="89" t="n">
        <v>29</v>
      </c>
      <c r="T24" s="89" t="n">
        <v>30</v>
      </c>
      <c r="U24" s="89" t="n">
        <v>31</v>
      </c>
      <c r="V24" s="87" t="inlineStr"/>
      <c r="W24" s="87" t="inlineStr"/>
      <c r="X24" s="81" t="n"/>
      <c r="Y24" s="89" t="n">
        <v>24</v>
      </c>
      <c r="Z24" s="89" t="n">
        <v>25</v>
      </c>
      <c r="AA24" s="89" t="n">
        <v>26</v>
      </c>
      <c r="AB24" s="89" t="n">
        <v>27</v>
      </c>
      <c r="AC24" s="89" t="n">
        <v>28</v>
      </c>
      <c r="AD24" s="90" t="n">
        <v>29</v>
      </c>
      <c r="AE24" s="90" t="n">
        <v>30</v>
      </c>
      <c r="AF24" s="81" t="n"/>
      <c r="AG24" s="81" t="n"/>
    </row>
    <row r="25" ht="16" customHeight="1">
      <c r="A25" s="87" t="n"/>
      <c r="B25" s="87" t="n"/>
      <c r="C25" s="87" t="n"/>
      <c r="D25" s="87" t="n"/>
      <c r="E25" s="87" t="n"/>
      <c r="F25" s="87" t="n"/>
      <c r="G25" s="87" t="n"/>
      <c r="H25" s="81" t="n"/>
      <c r="I25" s="87" t="n"/>
      <c r="J25" s="87" t="n"/>
      <c r="K25" s="87" t="n"/>
      <c r="L25" s="87" t="n"/>
      <c r="M25" s="87" t="n"/>
      <c r="N25" s="87" t="n"/>
      <c r="O25" s="87" t="n"/>
      <c r="P25" s="81" t="n"/>
      <c r="Q25" s="87" t="n"/>
      <c r="R25" s="87" t="n"/>
      <c r="S25" s="87" t="n"/>
      <c r="T25" s="87" t="n"/>
      <c r="U25" s="87" t="n"/>
      <c r="V25" s="87" t="n"/>
      <c r="W25" s="87" t="n"/>
      <c r="X25" s="81" t="n"/>
      <c r="Y25" s="89" t="n">
        <v>31</v>
      </c>
      <c r="Z25" s="87" t="inlineStr"/>
      <c r="AA25" s="87" t="inlineStr"/>
      <c r="AB25" s="87" t="inlineStr"/>
      <c r="AC25" s="87" t="inlineStr"/>
      <c r="AD25" s="87" t="inlineStr"/>
      <c r="AE25" s="87" t="inlineStr"/>
      <c r="AF25" s="81" t="n"/>
      <c r="AG25" s="81" t="n"/>
    </row>
    <row r="26" ht="17" customHeight="1">
      <c r="A26" s="81" t="n"/>
      <c r="B26" s="81" t="n"/>
      <c r="C26" s="81" t="n"/>
      <c r="D26" s="81" t="n"/>
      <c r="E26" s="81" t="n"/>
      <c r="F26" s="81" t="n"/>
      <c r="G26" s="81" t="n"/>
      <c r="H26" s="81" t="n"/>
      <c r="I26" s="81" t="n"/>
      <c r="J26" s="81" t="n"/>
      <c r="K26" s="81" t="n"/>
      <c r="L26" s="81" t="n"/>
      <c r="M26" s="81" t="n"/>
      <c r="N26" s="81" t="n"/>
      <c r="O26" s="81" t="n"/>
      <c r="P26" s="81" t="n"/>
      <c r="Q26" s="81" t="n"/>
      <c r="R26" s="81" t="n"/>
      <c r="S26" s="81" t="n"/>
      <c r="T26" s="81" t="n"/>
      <c r="U26" s="81" t="n"/>
      <c r="V26" s="81" t="n"/>
      <c r="W26" s="81" t="n"/>
      <c r="X26" s="81" t="n"/>
      <c r="Y26" s="81" t="n"/>
      <c r="Z26" s="81" t="n"/>
      <c r="AA26" s="81" t="n"/>
      <c r="AB26" s="81" t="n"/>
      <c r="AC26" s="81" t="n"/>
      <c r="AD26" s="81" t="n"/>
      <c r="AE26" s="81" t="n"/>
      <c r="AF26" s="81" t="n"/>
      <c r="AG26" s="81" t="n"/>
    </row>
    <row r="27" ht="17" customHeight="1">
      <c r="A27" s="81" t="n"/>
      <c r="B27" s="81" t="n"/>
      <c r="C27" s="81" t="n"/>
      <c r="D27" s="81" t="n"/>
      <c r="E27" s="81" t="n"/>
      <c r="F27" s="81" t="n"/>
      <c r="G27" s="81" t="n"/>
      <c r="H27" s="81" t="n"/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1" t="n"/>
      <c r="X27" s="81" t="n"/>
      <c r="Y27" s="81" t="n"/>
      <c r="Z27" s="81" t="n"/>
      <c r="AA27" s="81" t="n"/>
      <c r="AB27" s="81" t="n"/>
      <c r="AC27" s="81" t="n"/>
      <c r="AD27" s="81" t="n"/>
      <c r="AE27" s="81" t="n"/>
      <c r="AF27" s="81" t="n"/>
      <c r="AG27" s="81" t="n"/>
    </row>
    <row r="28" ht="17" customHeight="1">
      <c r="A28" s="81" t="n"/>
      <c r="B28" s="81" t="n"/>
      <c r="C28" s="81" t="n"/>
      <c r="D28" s="81" t="n"/>
      <c r="E28" s="81" t="n"/>
      <c r="F28" s="81" t="n"/>
      <c r="G28" s="81" t="n"/>
      <c r="H28" s="81" t="n"/>
      <c r="I28" s="81" t="n"/>
      <c r="J28" s="81" t="n"/>
      <c r="K28" s="81" t="n"/>
      <c r="L28" s="81" t="n"/>
      <c r="M28" s="81" t="n"/>
      <c r="N28" s="81" t="n"/>
      <c r="O28" s="81" t="n"/>
      <c r="P28" s="81" t="n"/>
      <c r="Q28" s="81" t="n"/>
      <c r="R28" s="81" t="n"/>
      <c r="S28" s="81" t="n"/>
      <c r="T28" s="81" t="n"/>
      <c r="U28" s="81" t="n"/>
      <c r="V28" s="81" t="n"/>
      <c r="W28" s="81" t="n"/>
      <c r="X28" s="81" t="n"/>
      <c r="Y28" s="81" t="n"/>
      <c r="Z28" s="81" t="n"/>
      <c r="AA28" s="81" t="n"/>
      <c r="AB28" s="81" t="n"/>
      <c r="AC28" s="81" t="n"/>
      <c r="AD28" s="81" t="n"/>
      <c r="AE28" s="81" t="n"/>
      <c r="AF28" s="81" t="n"/>
      <c r="AG28" s="81" t="n"/>
    </row>
    <row r="29" ht="22" customHeight="1">
      <c r="A29" s="92" t="inlineStr">
        <is>
          <t>SETEMBRO 2026</t>
        </is>
      </c>
      <c r="H29" s="81" t="n"/>
      <c r="I29" s="83" t="inlineStr">
        <is>
          <t>OUTUBRO 2026</t>
        </is>
      </c>
      <c r="P29" s="81" t="n"/>
      <c r="Q29" s="84" t="inlineStr">
        <is>
          <t>NOVEMBRO 2026</t>
        </is>
      </c>
      <c r="X29" s="81" t="n"/>
      <c r="Y29" s="92" t="inlineStr">
        <is>
          <t>DEZEMBRO 2026</t>
        </is>
      </c>
      <c r="AF29" s="81" t="n"/>
      <c r="AG29" s="81" t="n"/>
    </row>
    <row r="30" ht="18" customHeight="1">
      <c r="A30" s="85" t="inlineStr">
        <is>
          <t>Seg</t>
        </is>
      </c>
      <c r="B30" s="85" t="inlineStr">
        <is>
          <t>Ter</t>
        </is>
      </c>
      <c r="C30" s="85" t="inlineStr">
        <is>
          <t>Qua</t>
        </is>
      </c>
      <c r="D30" s="85" t="inlineStr">
        <is>
          <t>Qui</t>
        </is>
      </c>
      <c r="E30" s="85" t="inlineStr">
        <is>
          <t>Sex</t>
        </is>
      </c>
      <c r="F30" s="86" t="inlineStr">
        <is>
          <t>Sáb</t>
        </is>
      </c>
      <c r="G30" s="86" t="inlineStr">
        <is>
          <t>Dom</t>
        </is>
      </c>
      <c r="H30" s="81" t="n"/>
      <c r="I30" s="85" t="inlineStr">
        <is>
          <t>Seg</t>
        </is>
      </c>
      <c r="J30" s="85" t="inlineStr">
        <is>
          <t>Ter</t>
        </is>
      </c>
      <c r="K30" s="85" t="inlineStr">
        <is>
          <t>Qua</t>
        </is>
      </c>
      <c r="L30" s="85" t="inlineStr">
        <is>
          <t>Qui</t>
        </is>
      </c>
      <c r="M30" s="85" t="inlineStr">
        <is>
          <t>Sex</t>
        </is>
      </c>
      <c r="N30" s="86" t="inlineStr">
        <is>
          <t>Sáb</t>
        </is>
      </c>
      <c r="O30" s="86" t="inlineStr">
        <is>
          <t>Dom</t>
        </is>
      </c>
      <c r="P30" s="81" t="n"/>
      <c r="Q30" s="85" t="inlineStr">
        <is>
          <t>Seg</t>
        </is>
      </c>
      <c r="R30" s="85" t="inlineStr">
        <is>
          <t>Ter</t>
        </is>
      </c>
      <c r="S30" s="85" t="inlineStr">
        <is>
          <t>Qua</t>
        </is>
      </c>
      <c r="T30" s="85" t="inlineStr">
        <is>
          <t>Qui</t>
        </is>
      </c>
      <c r="U30" s="85" t="inlineStr">
        <is>
          <t>Sex</t>
        </is>
      </c>
      <c r="V30" s="86" t="inlineStr">
        <is>
          <t>Sáb</t>
        </is>
      </c>
      <c r="W30" s="86" t="inlineStr">
        <is>
          <t>Dom</t>
        </is>
      </c>
      <c r="X30" s="81" t="n"/>
      <c r="Y30" s="85" t="inlineStr">
        <is>
          <t>Seg</t>
        </is>
      </c>
      <c r="Z30" s="85" t="inlineStr">
        <is>
          <t>Ter</t>
        </is>
      </c>
      <c r="AA30" s="85" t="inlineStr">
        <is>
          <t>Qua</t>
        </is>
      </c>
      <c r="AB30" s="85" t="inlineStr">
        <is>
          <t>Qui</t>
        </is>
      </c>
      <c r="AC30" s="85" t="inlineStr">
        <is>
          <t>Sex</t>
        </is>
      </c>
      <c r="AD30" s="86" t="inlineStr">
        <is>
          <t>Sáb</t>
        </is>
      </c>
      <c r="AE30" s="86" t="inlineStr">
        <is>
          <t>Dom</t>
        </is>
      </c>
      <c r="AF30" s="81" t="n"/>
      <c r="AG30" s="81" t="n"/>
    </row>
    <row r="31" ht="16" customHeight="1">
      <c r="A31" s="87" t="inlineStr"/>
      <c r="B31" s="88" t="n">
        <v>1</v>
      </c>
      <c r="C31" s="89" t="n">
        <v>2</v>
      </c>
      <c r="D31" s="89" t="n">
        <v>3</v>
      </c>
      <c r="E31" s="89" t="n">
        <v>4</v>
      </c>
      <c r="F31" s="90" t="n">
        <v>5</v>
      </c>
      <c r="G31" s="90" t="n">
        <v>6</v>
      </c>
      <c r="H31" s="81" t="n"/>
      <c r="I31" s="87" t="inlineStr"/>
      <c r="J31" s="87" t="inlineStr"/>
      <c r="K31" s="87" t="inlineStr"/>
      <c r="L31" s="88" t="n">
        <v>1</v>
      </c>
      <c r="M31" s="89" t="n">
        <v>2</v>
      </c>
      <c r="N31" s="90" t="n">
        <v>3</v>
      </c>
      <c r="O31" s="90" t="n">
        <v>4</v>
      </c>
      <c r="P31" s="81" t="n"/>
      <c r="Q31" s="87" t="inlineStr"/>
      <c r="R31" s="87" t="inlineStr"/>
      <c r="S31" s="87" t="inlineStr"/>
      <c r="T31" s="87" t="inlineStr"/>
      <c r="U31" s="87" t="inlineStr"/>
      <c r="V31" s="87" t="inlineStr"/>
      <c r="W31" s="91" t="n">
        <v>1</v>
      </c>
      <c r="X31" s="81" t="n"/>
      <c r="Y31" s="87" t="inlineStr"/>
      <c r="Z31" s="88" t="n">
        <v>1</v>
      </c>
      <c r="AA31" s="89" t="n">
        <v>2</v>
      </c>
      <c r="AB31" s="89" t="n">
        <v>3</v>
      </c>
      <c r="AC31" s="89" t="n">
        <v>4</v>
      </c>
      <c r="AD31" s="90" t="n">
        <v>5</v>
      </c>
      <c r="AE31" s="90" t="n">
        <v>6</v>
      </c>
      <c r="AF31" s="81" t="n"/>
      <c r="AG31" s="81" t="n"/>
    </row>
    <row r="32" ht="16" customHeight="1">
      <c r="A32" s="89" t="n">
        <v>7</v>
      </c>
      <c r="B32" s="88" t="n">
        <v>8</v>
      </c>
      <c r="C32" s="89" t="n">
        <v>9</v>
      </c>
      <c r="D32" s="89" t="n">
        <v>10</v>
      </c>
      <c r="E32" s="89" t="n">
        <v>11</v>
      </c>
      <c r="F32" s="90" t="n">
        <v>12</v>
      </c>
      <c r="G32" s="90" t="n">
        <v>13</v>
      </c>
      <c r="H32" s="81" t="n"/>
      <c r="I32" s="89" t="n">
        <v>5</v>
      </c>
      <c r="J32" s="89" t="n">
        <v>6</v>
      </c>
      <c r="K32" s="89" t="n">
        <v>7</v>
      </c>
      <c r="L32" s="88" t="n">
        <v>8</v>
      </c>
      <c r="M32" s="89" t="n">
        <v>9</v>
      </c>
      <c r="N32" s="90" t="n">
        <v>10</v>
      </c>
      <c r="O32" s="90" t="n">
        <v>11</v>
      </c>
      <c r="P32" s="81" t="n"/>
      <c r="Q32" s="89" t="n">
        <v>2</v>
      </c>
      <c r="R32" s="89" t="n">
        <v>3</v>
      </c>
      <c r="S32" s="89" t="n">
        <v>4</v>
      </c>
      <c r="T32" s="89" t="n">
        <v>5</v>
      </c>
      <c r="U32" s="89" t="n">
        <v>6</v>
      </c>
      <c r="V32" s="90" t="n">
        <v>7</v>
      </c>
      <c r="W32" s="91" t="n">
        <v>8</v>
      </c>
      <c r="X32" s="81" t="n"/>
      <c r="Y32" s="89" t="n">
        <v>7</v>
      </c>
      <c r="Z32" s="88" t="n">
        <v>8</v>
      </c>
      <c r="AA32" s="89" t="n">
        <v>9</v>
      </c>
      <c r="AB32" s="89" t="n">
        <v>10</v>
      </c>
      <c r="AC32" s="89" t="n">
        <v>11</v>
      </c>
      <c r="AD32" s="90" t="n">
        <v>12</v>
      </c>
      <c r="AE32" s="90" t="n">
        <v>13</v>
      </c>
      <c r="AF32" s="81" t="n"/>
      <c r="AG32" s="81" t="n"/>
    </row>
    <row r="33" ht="16" customHeight="1">
      <c r="A33" s="89" t="n">
        <v>14</v>
      </c>
      <c r="B33" s="88" t="n">
        <v>15</v>
      </c>
      <c r="C33" s="89" t="n">
        <v>16</v>
      </c>
      <c r="D33" s="89" t="n">
        <v>17</v>
      </c>
      <c r="E33" s="89" t="n">
        <v>18</v>
      </c>
      <c r="F33" s="90" t="n">
        <v>19</v>
      </c>
      <c r="G33" s="90" t="n">
        <v>20</v>
      </c>
      <c r="H33" s="81" t="n"/>
      <c r="I33" s="89" t="n">
        <v>12</v>
      </c>
      <c r="J33" s="89" t="n">
        <v>13</v>
      </c>
      <c r="K33" s="89" t="n">
        <v>14</v>
      </c>
      <c r="L33" s="88" t="n">
        <v>15</v>
      </c>
      <c r="M33" s="89" t="n">
        <v>16</v>
      </c>
      <c r="N33" s="90" t="n">
        <v>17</v>
      </c>
      <c r="O33" s="90" t="n">
        <v>18</v>
      </c>
      <c r="P33" s="81" t="n"/>
      <c r="Q33" s="89" t="n">
        <v>9</v>
      </c>
      <c r="R33" s="89" t="n">
        <v>10</v>
      </c>
      <c r="S33" s="89" t="n">
        <v>11</v>
      </c>
      <c r="T33" s="89" t="n">
        <v>12</v>
      </c>
      <c r="U33" s="89" t="n">
        <v>13</v>
      </c>
      <c r="V33" s="90" t="n">
        <v>14</v>
      </c>
      <c r="W33" s="91" t="n">
        <v>15</v>
      </c>
      <c r="X33" s="81" t="n"/>
      <c r="Y33" s="89" t="n">
        <v>14</v>
      </c>
      <c r="Z33" s="88" t="n">
        <v>15</v>
      </c>
      <c r="AA33" s="89" t="n">
        <v>16</v>
      </c>
      <c r="AB33" s="89" t="n">
        <v>17</v>
      </c>
      <c r="AC33" s="89" t="n">
        <v>18</v>
      </c>
      <c r="AD33" s="90" t="n">
        <v>19</v>
      </c>
      <c r="AE33" s="90" t="n">
        <v>20</v>
      </c>
      <c r="AF33" s="81" t="n"/>
      <c r="AG33" s="81" t="n"/>
    </row>
    <row r="34" ht="16" customHeight="1">
      <c r="A34" s="89" t="n">
        <v>21</v>
      </c>
      <c r="B34" s="88" t="n">
        <v>22</v>
      </c>
      <c r="C34" s="89" t="n">
        <v>23</v>
      </c>
      <c r="D34" s="89" t="n">
        <v>24</v>
      </c>
      <c r="E34" s="89" t="n">
        <v>25</v>
      </c>
      <c r="F34" s="90" t="n">
        <v>26</v>
      </c>
      <c r="G34" s="90" t="n">
        <v>27</v>
      </c>
      <c r="H34" s="81" t="n"/>
      <c r="I34" s="89" t="n">
        <v>19</v>
      </c>
      <c r="J34" s="89" t="n">
        <v>20</v>
      </c>
      <c r="K34" s="89" t="n">
        <v>21</v>
      </c>
      <c r="L34" s="88" t="n">
        <v>22</v>
      </c>
      <c r="M34" s="89" t="n">
        <v>23</v>
      </c>
      <c r="N34" s="90" t="n">
        <v>24</v>
      </c>
      <c r="O34" s="90" t="n">
        <v>25</v>
      </c>
      <c r="P34" s="81" t="n"/>
      <c r="Q34" s="89" t="n">
        <v>16</v>
      </c>
      <c r="R34" s="89" t="n">
        <v>17</v>
      </c>
      <c r="S34" s="89" t="n">
        <v>18</v>
      </c>
      <c r="T34" s="89" t="n">
        <v>19</v>
      </c>
      <c r="U34" s="89" t="n">
        <v>20</v>
      </c>
      <c r="V34" s="90" t="n">
        <v>21</v>
      </c>
      <c r="W34" s="91" t="n">
        <v>22</v>
      </c>
      <c r="X34" s="81" t="n"/>
      <c r="Y34" s="89" t="n">
        <v>21</v>
      </c>
      <c r="Z34" s="88" t="n">
        <v>22</v>
      </c>
      <c r="AA34" s="89" t="n">
        <v>23</v>
      </c>
      <c r="AB34" s="89" t="n">
        <v>24</v>
      </c>
      <c r="AC34" s="89" t="n">
        <v>25</v>
      </c>
      <c r="AD34" s="90" t="n">
        <v>26</v>
      </c>
      <c r="AE34" s="90" t="n">
        <v>27</v>
      </c>
      <c r="AF34" s="81" t="n"/>
      <c r="AG34" s="81" t="n"/>
    </row>
    <row r="35" ht="16" customHeight="1">
      <c r="A35" s="89" t="n">
        <v>28</v>
      </c>
      <c r="B35" s="89" t="n">
        <v>29</v>
      </c>
      <c r="C35" s="89" t="n">
        <v>30</v>
      </c>
      <c r="D35" s="87" t="inlineStr"/>
      <c r="E35" s="87" t="inlineStr"/>
      <c r="F35" s="87" t="inlineStr"/>
      <c r="G35" s="87" t="inlineStr"/>
      <c r="H35" s="81" t="n"/>
      <c r="I35" s="89" t="n">
        <v>26</v>
      </c>
      <c r="J35" s="89" t="n">
        <v>27</v>
      </c>
      <c r="K35" s="89" t="n">
        <v>28</v>
      </c>
      <c r="L35" s="89" t="n">
        <v>29</v>
      </c>
      <c r="M35" s="89" t="n">
        <v>30</v>
      </c>
      <c r="N35" s="90" t="n">
        <v>31</v>
      </c>
      <c r="O35" s="87" t="inlineStr"/>
      <c r="P35" s="81" t="n"/>
      <c r="Q35" s="89" t="n">
        <v>23</v>
      </c>
      <c r="R35" s="89" t="n">
        <v>24</v>
      </c>
      <c r="S35" s="89" t="n">
        <v>25</v>
      </c>
      <c r="T35" s="89" t="n">
        <v>26</v>
      </c>
      <c r="U35" s="89" t="n">
        <v>27</v>
      </c>
      <c r="V35" s="90" t="n">
        <v>28</v>
      </c>
      <c r="W35" s="90" t="n">
        <v>29</v>
      </c>
      <c r="X35" s="81" t="n"/>
      <c r="Y35" s="89" t="n">
        <v>28</v>
      </c>
      <c r="Z35" s="89" t="n">
        <v>29</v>
      </c>
      <c r="AA35" s="89" t="n">
        <v>30</v>
      </c>
      <c r="AB35" s="89" t="n">
        <v>31</v>
      </c>
      <c r="AC35" s="87" t="inlineStr"/>
      <c r="AD35" s="87" t="inlineStr"/>
      <c r="AE35" s="87" t="inlineStr"/>
      <c r="AF35" s="81" t="n"/>
      <c r="AG35" s="81" t="n"/>
    </row>
    <row r="36" ht="16" customHeight="1">
      <c r="A36" s="87" t="n"/>
      <c r="B36" s="87" t="n"/>
      <c r="C36" s="87" t="n"/>
      <c r="D36" s="87" t="n"/>
      <c r="E36" s="87" t="n"/>
      <c r="F36" s="87" t="n"/>
      <c r="G36" s="87" t="n"/>
      <c r="H36" s="81" t="n"/>
      <c r="I36" s="87" t="n"/>
      <c r="J36" s="87" t="n"/>
      <c r="K36" s="87" t="n"/>
      <c r="L36" s="87" t="n"/>
      <c r="M36" s="87" t="n"/>
      <c r="N36" s="87" t="n"/>
      <c r="O36" s="87" t="n"/>
      <c r="P36" s="81" t="n"/>
      <c r="Q36" s="89" t="n">
        <v>30</v>
      </c>
      <c r="R36" s="87" t="inlineStr"/>
      <c r="S36" s="87" t="inlineStr"/>
      <c r="T36" s="87" t="inlineStr"/>
      <c r="U36" s="87" t="inlineStr"/>
      <c r="V36" s="87" t="inlineStr"/>
      <c r="W36" s="87" t="inlineStr"/>
      <c r="X36" s="81" t="n"/>
      <c r="Y36" s="87" t="n"/>
      <c r="Z36" s="87" t="n"/>
      <c r="AA36" s="87" t="n"/>
      <c r="AB36" s="87" t="n"/>
      <c r="AC36" s="87" t="n"/>
      <c r="AD36" s="87" t="n"/>
      <c r="AE36" s="87" t="n"/>
      <c r="AF36" s="81" t="n"/>
      <c r="AG36" s="81" t="n"/>
    </row>
    <row r="37" ht="17" customHeight="1">
      <c r="A37" s="81" t="n"/>
      <c r="B37" s="81" t="n"/>
      <c r="C37" s="81" t="n"/>
      <c r="D37" s="81" t="n"/>
      <c r="E37" s="81" t="n"/>
      <c r="F37" s="81" t="n"/>
      <c r="G37" s="81" t="n"/>
      <c r="H37" s="81" t="n"/>
      <c r="I37" s="81" t="n"/>
      <c r="J37" s="81" t="n"/>
      <c r="K37" s="81" t="n"/>
      <c r="L37" s="81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  <c r="Y37" s="81" t="n"/>
      <c r="Z37" s="81" t="n"/>
      <c r="AA37" s="81" t="n"/>
      <c r="AB37" s="81" t="n"/>
      <c r="AC37" s="81" t="n"/>
      <c r="AD37" s="81" t="n"/>
      <c r="AE37" s="81" t="n"/>
      <c r="AF37" s="81" t="n"/>
      <c r="AG37" s="81" t="n"/>
    </row>
    <row r="38" ht="17" customHeight="1">
      <c r="A38" s="81" t="n"/>
      <c r="B38" s="81" t="n"/>
      <c r="C38" s="81" t="n"/>
      <c r="D38" s="81" t="n"/>
      <c r="E38" s="81" t="n"/>
      <c r="F38" s="81" t="n"/>
      <c r="G38" s="81" t="n"/>
      <c r="H38" s="81" t="n"/>
      <c r="I38" s="81" t="n"/>
      <c r="J38" s="81" t="n"/>
      <c r="K38" s="81" t="n"/>
      <c r="L38" s="81" t="n"/>
      <c r="M38" s="81" t="n"/>
      <c r="N38" s="81" t="n"/>
      <c r="O38" s="81" t="n"/>
      <c r="P38" s="81" t="n"/>
      <c r="Q38" s="81" t="n"/>
      <c r="R38" s="81" t="n"/>
      <c r="S38" s="81" t="n"/>
      <c r="T38" s="81" t="n"/>
      <c r="U38" s="81" t="n"/>
      <c r="V38" s="81" t="n"/>
      <c r="W38" s="81" t="n"/>
      <c r="X38" s="81" t="n"/>
      <c r="Y38" s="81" t="n"/>
      <c r="Z38" s="81" t="n"/>
      <c r="AA38" s="81" t="n"/>
      <c r="AB38" s="81" t="n"/>
      <c r="AC38" s="81" t="n"/>
      <c r="AD38" s="81" t="n"/>
      <c r="AE38" s="81" t="n"/>
      <c r="AF38" s="81" t="n"/>
      <c r="AG38" s="81" t="n"/>
    </row>
    <row r="39" ht="17" customHeight="1">
      <c r="A39" s="81" t="n"/>
      <c r="B39" s="81" t="n"/>
      <c r="C39" s="81" t="n"/>
      <c r="D39" s="81" t="n"/>
      <c r="E39" s="81" t="n"/>
      <c r="F39" s="81" t="n"/>
      <c r="G39" s="81" t="n"/>
      <c r="H39" s="81" t="n"/>
      <c r="I39" s="81" t="n"/>
      <c r="J39" s="81" t="n"/>
      <c r="K39" s="81" t="n"/>
      <c r="L39" s="81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  <c r="Y39" s="81" t="n"/>
      <c r="Z39" s="81" t="n"/>
      <c r="AA39" s="81" t="n"/>
      <c r="AB39" s="81" t="n"/>
      <c r="AC39" s="81" t="n"/>
      <c r="AD39" s="81" t="n"/>
      <c r="AE39" s="81" t="n"/>
      <c r="AF39" s="81" t="n"/>
      <c r="AG39" s="81" t="n"/>
    </row>
    <row r="40" ht="20" customHeight="1">
      <c r="A40" s="93" t="inlineStr">
        <is>
          <t>🟢 = Dias de revisão ABC marcados   |   🔴 = Finais de semana   |   🇯🇲 Jah bless your schedule! — One Love, One Excel! 2026</t>
        </is>
      </c>
      <c r="AG40" s="81" t="n"/>
    </row>
    <row r="41" ht="17" customHeight="1">
      <c r="A41" s="81" t="n"/>
      <c r="B41" s="81" t="n"/>
      <c r="C41" s="81" t="n"/>
      <c r="D41" s="81" t="n"/>
      <c r="E41" s="81" t="n"/>
      <c r="F41" s="81" t="n"/>
      <c r="G41" s="81" t="n"/>
      <c r="H41" s="81" t="n"/>
      <c r="I41" s="81" t="n"/>
      <c r="J41" s="81" t="n"/>
      <c r="K41" s="81" t="n"/>
      <c r="L41" s="81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  <c r="Y41" s="81" t="n"/>
      <c r="Z41" s="81" t="n"/>
      <c r="AA41" s="81" t="n"/>
      <c r="AB41" s="81" t="n"/>
      <c r="AC41" s="81" t="n"/>
      <c r="AD41" s="81" t="n"/>
      <c r="AE41" s="81" t="n"/>
      <c r="AF41" s="81" t="n"/>
      <c r="AG41" s="81" t="n"/>
    </row>
    <row r="42" ht="17" customHeight="1">
      <c r="A42" s="81" t="n"/>
      <c r="B42" s="81" t="n"/>
      <c r="C42" s="81" t="n"/>
      <c r="D42" s="81" t="n"/>
      <c r="E42" s="81" t="n"/>
      <c r="F42" s="81" t="n"/>
      <c r="G42" s="81" t="n"/>
      <c r="H42" s="81" t="n"/>
      <c r="I42" s="81" t="n"/>
      <c r="J42" s="81" t="n"/>
      <c r="K42" s="81" t="n"/>
      <c r="L42" s="81" t="n"/>
      <c r="M42" s="81" t="n"/>
      <c r="N42" s="81" t="n"/>
      <c r="O42" s="81" t="n"/>
      <c r="P42" s="81" t="n"/>
      <c r="Q42" s="81" t="n"/>
      <c r="R42" s="81" t="n"/>
      <c r="S42" s="81" t="n"/>
      <c r="T42" s="81" t="n"/>
      <c r="U42" s="81" t="n"/>
      <c r="V42" s="81" t="n"/>
      <c r="W42" s="81" t="n"/>
      <c r="X42" s="81" t="n"/>
      <c r="Y42" s="81" t="n"/>
      <c r="Z42" s="81" t="n"/>
      <c r="AA42" s="81" t="n"/>
      <c r="AB42" s="81" t="n"/>
      <c r="AC42" s="81" t="n"/>
      <c r="AD42" s="81" t="n"/>
      <c r="AE42" s="81" t="n"/>
      <c r="AF42" s="81" t="n"/>
      <c r="AG42" s="81" t="n"/>
    </row>
    <row r="43" ht="17" customHeight="1">
      <c r="A43" s="81" t="n"/>
      <c r="B43" s="81" t="n"/>
      <c r="C43" s="81" t="n"/>
      <c r="D43" s="81" t="n"/>
      <c r="E43" s="81" t="n"/>
      <c r="F43" s="81" t="n"/>
      <c r="G43" s="81" t="n"/>
      <c r="H43" s="81" t="n"/>
      <c r="I43" s="81" t="n"/>
      <c r="J43" s="81" t="n"/>
      <c r="K43" s="81" t="n"/>
      <c r="L43" s="81" t="n"/>
      <c r="M43" s="81" t="n"/>
      <c r="N43" s="81" t="n"/>
      <c r="O43" s="81" t="n"/>
      <c r="P43" s="81" t="n"/>
      <c r="Q43" s="81" t="n"/>
      <c r="R43" s="81" t="n"/>
      <c r="S43" s="81" t="n"/>
      <c r="T43" s="81" t="n"/>
      <c r="U43" s="81" t="n"/>
      <c r="V43" s="81" t="n"/>
      <c r="W43" s="81" t="n"/>
      <c r="X43" s="81" t="n"/>
      <c r="Y43" s="81" t="n"/>
      <c r="Z43" s="81" t="n"/>
      <c r="AA43" s="81" t="n"/>
      <c r="AB43" s="81" t="n"/>
      <c r="AC43" s="81" t="n"/>
      <c r="AD43" s="81" t="n"/>
      <c r="AE43" s="81" t="n"/>
      <c r="AF43" s="81" t="n"/>
      <c r="AG43" s="81" t="n"/>
    </row>
    <row r="44" ht="17" customHeight="1">
      <c r="A44" s="81" t="n"/>
      <c r="B44" s="81" t="n"/>
      <c r="C44" s="81" t="n"/>
      <c r="D44" s="81" t="n"/>
      <c r="E44" s="81" t="n"/>
      <c r="F44" s="81" t="n"/>
      <c r="G44" s="81" t="n"/>
      <c r="H44" s="81" t="n"/>
      <c r="I44" s="81" t="n"/>
      <c r="J44" s="81" t="n"/>
      <c r="K44" s="81" t="n"/>
      <c r="L44" s="81" t="n"/>
      <c r="M44" s="81" t="n"/>
      <c r="N44" s="81" t="n"/>
      <c r="O44" s="81" t="n"/>
      <c r="P44" s="81" t="n"/>
      <c r="Q44" s="81" t="n"/>
      <c r="R44" s="81" t="n"/>
      <c r="S44" s="81" t="n"/>
      <c r="T44" s="81" t="n"/>
      <c r="U44" s="81" t="n"/>
      <c r="V44" s="81" t="n"/>
      <c r="W44" s="81" t="n"/>
      <c r="X44" s="81" t="n"/>
      <c r="Y44" s="81" t="n"/>
      <c r="Z44" s="81" t="n"/>
      <c r="AA44" s="81" t="n"/>
      <c r="AB44" s="81" t="n"/>
      <c r="AC44" s="81" t="n"/>
      <c r="AD44" s="81" t="n"/>
      <c r="AE44" s="81" t="n"/>
      <c r="AF44" s="81" t="n"/>
      <c r="AG44" s="81" t="n"/>
    </row>
    <row r="45" ht="17" customHeight="1">
      <c r="A45" s="81" t="n"/>
      <c r="B45" s="81" t="n"/>
      <c r="C45" s="81" t="n"/>
      <c r="D45" s="81" t="n"/>
      <c r="E45" s="81" t="n"/>
      <c r="F45" s="81" t="n"/>
      <c r="G45" s="81" t="n"/>
      <c r="H45" s="81" t="n"/>
      <c r="I45" s="81" t="n"/>
      <c r="J45" s="81" t="n"/>
      <c r="K45" s="81" t="n"/>
      <c r="L45" s="81" t="n"/>
      <c r="M45" s="81" t="n"/>
      <c r="N45" s="81" t="n"/>
      <c r="O45" s="81" t="n"/>
      <c r="P45" s="81" t="n"/>
      <c r="Q45" s="81" t="n"/>
      <c r="R45" s="81" t="n"/>
      <c r="S45" s="81" t="n"/>
      <c r="T45" s="81" t="n"/>
      <c r="U45" s="81" t="n"/>
      <c r="V45" s="81" t="n"/>
      <c r="W45" s="81" t="n"/>
      <c r="X45" s="81" t="n"/>
      <c r="Y45" s="81" t="n"/>
      <c r="Z45" s="81" t="n"/>
      <c r="AA45" s="81" t="n"/>
      <c r="AB45" s="81" t="n"/>
      <c r="AC45" s="81" t="n"/>
      <c r="AD45" s="81" t="n"/>
      <c r="AE45" s="81" t="n"/>
      <c r="AF45" s="81" t="n"/>
      <c r="AG45" s="81" t="n"/>
    </row>
    <row r="46" ht="17" customHeight="1">
      <c r="A46" s="81" t="n"/>
      <c r="B46" s="81" t="n"/>
      <c r="C46" s="81" t="n"/>
      <c r="D46" s="81" t="n"/>
      <c r="E46" s="81" t="n"/>
      <c r="F46" s="81" t="n"/>
      <c r="G46" s="81" t="n"/>
      <c r="H46" s="81" t="n"/>
      <c r="I46" s="81" t="n"/>
      <c r="J46" s="81" t="n"/>
      <c r="K46" s="81" t="n"/>
      <c r="L46" s="81" t="n"/>
      <c r="M46" s="81" t="n"/>
      <c r="N46" s="81" t="n"/>
      <c r="O46" s="81" t="n"/>
      <c r="P46" s="81" t="n"/>
      <c r="Q46" s="81" t="n"/>
      <c r="R46" s="81" t="n"/>
      <c r="S46" s="81" t="n"/>
      <c r="T46" s="81" t="n"/>
      <c r="U46" s="81" t="n"/>
      <c r="V46" s="81" t="n"/>
      <c r="W46" s="81" t="n"/>
      <c r="X46" s="81" t="n"/>
      <c r="Y46" s="81" t="n"/>
      <c r="Z46" s="81" t="n"/>
      <c r="AA46" s="81" t="n"/>
      <c r="AB46" s="81" t="n"/>
      <c r="AC46" s="81" t="n"/>
      <c r="AD46" s="81" t="n"/>
      <c r="AE46" s="81" t="n"/>
      <c r="AF46" s="81" t="n"/>
      <c r="AG46" s="81" t="n"/>
    </row>
    <row r="47" ht="17" customHeight="1">
      <c r="A47" s="81" t="n"/>
      <c r="B47" s="81" t="n"/>
      <c r="C47" s="81" t="n"/>
      <c r="D47" s="81" t="n"/>
      <c r="E47" s="81" t="n"/>
      <c r="F47" s="81" t="n"/>
      <c r="G47" s="81" t="n"/>
      <c r="H47" s="81" t="n"/>
      <c r="I47" s="81" t="n"/>
      <c r="J47" s="81" t="n"/>
      <c r="K47" s="81" t="n"/>
      <c r="L47" s="81" t="n"/>
      <c r="M47" s="81" t="n"/>
      <c r="N47" s="81" t="n"/>
      <c r="O47" s="81" t="n"/>
      <c r="P47" s="81" t="n"/>
      <c r="Q47" s="81" t="n"/>
      <c r="R47" s="81" t="n"/>
      <c r="S47" s="81" t="n"/>
      <c r="T47" s="81" t="n"/>
      <c r="U47" s="81" t="n"/>
      <c r="V47" s="81" t="n"/>
      <c r="W47" s="81" t="n"/>
      <c r="X47" s="81" t="n"/>
      <c r="Y47" s="81" t="n"/>
      <c r="Z47" s="81" t="n"/>
      <c r="AA47" s="81" t="n"/>
      <c r="AB47" s="81" t="n"/>
      <c r="AC47" s="81" t="n"/>
      <c r="AD47" s="81" t="n"/>
      <c r="AE47" s="81" t="n"/>
      <c r="AF47" s="81" t="n"/>
      <c r="AG47" s="81" t="n"/>
    </row>
  </sheetData>
  <mergeCells count="15">
    <mergeCell ref="A5:P5"/>
    <mergeCell ref="Q18:W18"/>
    <mergeCell ref="A18:G18"/>
    <mergeCell ref="I18:O18"/>
    <mergeCell ref="Q7:W7"/>
    <mergeCell ref="Y18:AE18"/>
    <mergeCell ref="A40:AF40"/>
    <mergeCell ref="I29:O29"/>
    <mergeCell ref="I7:O7"/>
    <mergeCell ref="Y7:AE7"/>
    <mergeCell ref="A29:G29"/>
    <mergeCell ref="A7:G7"/>
    <mergeCell ref="Q29:W29"/>
    <mergeCell ref="Y29:AE29"/>
    <mergeCell ref="A2:A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🇯🇲 Curva ABC Reggae</dc:creator>
  <dc:title>Curva ABC Reggae — Nota 10 Edition</dc:title>
  <dc:subject>Dashboard ABC 3 abas + Calendário 2026 | Reggae Colors</dc:subject>
  <dcterms:created xsi:type="dcterms:W3CDTF">2026-05-14T09:22:28Z</dcterms:created>
  <dcterms:modified xsi:type="dcterms:W3CDTF">2026-05-14T09:22:29Z</dcterms:modified>
</cp:coreProperties>
</file>