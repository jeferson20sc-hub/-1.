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  <sheet name="📅 CALEND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5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</fonts>
  <fills count="14">
    <fill>
      <patternFill/>
    </fill>
    <fill>
      <patternFill patternType="gray125"/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141414"/>
      </patternFill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8B0000"/>
      </patternFill>
    </fill>
    <fill>
      <patternFill patternType="solid">
        <fgColor rgb="000D2010"/>
      </patternFill>
    </fill>
    <fill>
      <patternFill patternType="solid">
        <fgColor rgb="00080808"/>
      </patternFill>
    </fill>
    <fill>
      <patternFill patternType="solid">
        <fgColor rgb="000D1A0D"/>
      </patternFill>
    </fill>
    <fill>
      <patternFill patternType="solid">
        <fgColor rgb="001A0000"/>
      </patternFill>
    </fill>
  </fills>
  <borders count="18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D6F5E3"/>
        </patternFill>
      </fill>
    </dxf>
    <dxf>
      <font>
        <color rgb="00000000"/>
      </font>
      <fill>
        <patternFill patternType="solid">
          <fgColor rgb="00FFFBD0"/>
        </patternFill>
      </fill>
    </dxf>
    <dxf>
      <font>
        <color rgb="00000000"/>
      </font>
      <fill>
        <patternFill patternType="solid">
          <fgColor rgb="00FFECEC"/>
        </patternFill>
      </fill>
    </dxf>
    <dxf>
      <font>
        <b val="1"/>
        <color rgb="00FFFFFF"/>
        <sz val="12"/>
      </font>
      <fill>
        <patternFill patternType="solid">
          <fgColor rgb="00009B3A"/>
        </patternFill>
      </fill>
    </dxf>
    <dxf>
      <font>
        <b val="1"/>
        <color rgb="00000000"/>
        <sz val="12"/>
      </font>
      <fill>
        <patternFill patternType="solid">
          <fgColor rgb="00C8A400"/>
        </patternFill>
      </fill>
    </dxf>
    <dxf>
      <font>
        <b val="1"/>
        <color rgb="00FFFFFF"/>
        <sz val="12"/>
      </font>
      <fill>
        <patternFill patternType="solid">
          <fgColor rgb="008B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PRIMEIRA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Primeira'!$Q$12:$Q$21</f>
              <numCache>
                <formatCode>General</formatCode>
                <ptCount val="10"/>
                <pt idx="0">
                  <v>50000</v>
                </pt>
                <pt idx="1">
                  <v>30000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Primeira'!$R$12:$R$21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27000</v>
                </pt>
                <pt idx="3">
                  <v>10000</v>
                </pt>
                <pt idx="4">
                  <v>6000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Primeira'!$S$12:$S$21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2800</v>
                </pt>
                <pt idx="6">
                  <v>2000</v>
                </pt>
                <pt idx="7">
                  <v>1600</v>
                </pt>
                <pt idx="8">
                  <v>1500</v>
                </pt>
                <pt idx="9">
                  <v>1440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'🟢 Primeira'!$P$12:$P$21</f>
              <strCache>
                <ptCount val="10"/>
                <pt idx="0">
                  <v>A | SKU01 | Servidor Backup</v>
                </pt>
                <pt idx="1">
                  <v>A | SKU02 | Monitor 27" 4K</v>
                </pt>
                <pt idx="2">
                  <v>B | SKU03 | Notebook Administrat</v>
                </pt>
                <pt idx="3">
                  <v>B | SKU04 | Nobreak Profissional</v>
                </pt>
                <pt idx="4">
                  <v>B | SKU05 | Switch Gerenciavel</v>
                </pt>
                <pt idx="5">
                  <v>C | SKU08 | Teclado USB</v>
                </pt>
                <pt idx="6">
                  <v>C | SKU06 | Mouse sem fio</v>
                </pt>
                <pt idx="7">
                  <v>C | SKU09 | Cabo Rede Cat6 (m)</v>
                </pt>
                <pt idx="8">
                  <v>C | SKU07 | Patch Cord 1m</v>
                </pt>
                <pt idx="9">
                  <v>C | SKU10 | Mousepad Slim</v>
                </pt>
              </strCache>
            </strRef>
          </cat>
          <val>
            <numRef>
              <f>'🟢 Primeira'!$T$12:$T$21</f>
              <numCache>
                <formatCode>0%</formatCode>
                <ptCount val="10"/>
                <pt idx="0">
                  <v>0.37781</v>
                </pt>
                <pt idx="1">
                  <v>0.6045</v>
                </pt>
                <pt idx="2">
                  <v>0.80852</v>
                </pt>
                <pt idx="3">
                  <v>0.88409</v>
                </pt>
                <pt idx="4">
                  <v>0.92942</v>
                </pt>
                <pt idx="5">
                  <v>0.95058</v>
                </pt>
                <pt idx="6">
                  <v>0.96569</v>
                </pt>
                <pt idx="7">
                  <v>0.97778</v>
                </pt>
                <pt idx="8">
                  <v>0.98912</v>
                </pt>
                <pt idx="9">
                  <v>1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01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01'!$Q$12:$Q$31</f>
              <numCache>
                <formatCode>General</formatCode>
                <ptCount val="20"/>
                <pt idx="0">
                  <v>227500</v>
                </pt>
                <pt idx="1">
                  <v>180000</v>
                </pt>
                <pt idx="2">
                  <v>60500</v>
                </pt>
                <pt idx="3">
                  <v>46240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01'!$R$12:$R$31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17100</v>
                </pt>
                <pt idx="5">
                  <v>17000</v>
                </pt>
                <pt idx="6">
                  <v>14760</v>
                </pt>
                <pt idx="7">
                  <v>10450</v>
                </pt>
                <pt idx="8">
                  <v>9750</v>
                </pt>
                <pt idx="9">
                  <v>9600</v>
                </pt>
                <pt idx="10">
                  <v>7560</v>
                </pt>
                <pt idx="11">
                  <v>7500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01'!$S$12:$S$31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7200</v>
                </pt>
                <pt idx="13">
                  <v>7040</v>
                </pt>
                <pt idx="14">
                  <v>6636</v>
                </pt>
                <pt idx="15">
                  <v>4400</v>
                </pt>
                <pt idx="16">
                  <v>3750</v>
                </pt>
                <pt idx="17">
                  <v>3150</v>
                </pt>
                <pt idx="18">
                  <v>2400</v>
                </pt>
                <pt idx="19">
                  <v>1800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'🟡 01'!$P$12:$P$31</f>
              <strCache>
                <ptCount val="20"/>
                <pt idx="0">
                  <v>A | SKU01 | Notebook Executivo i</v>
                </pt>
                <pt idx="1">
                  <v>A | SKU02 | Servidor de Dados Pr</v>
                </pt>
                <pt idx="2">
                  <v>A | SKU03 | Impressora Multifunc</v>
                </pt>
                <pt idx="3">
                  <v>A | SKU04 | Toner Impressora Las</v>
                </pt>
                <pt idx="4">
                  <v>B | SKU05 | Memoria RAM 16GB</v>
                </pt>
                <pt idx="5">
                  <v>B | SKU06 | Monitor LED 24"</v>
                </pt>
                <pt idx="6">
                  <v>B | SKU07 | Webcam Full HD</v>
                </pt>
                <pt idx="7">
                  <v>B | SKU09 | SSD 480GB Sata</v>
                </pt>
                <pt idx="8">
                  <v>B | SKU08 | Roteador Wi-Fi 6</v>
                </pt>
                <pt idx="9">
                  <v>B | SKU10 | Nobreak 1500VA</v>
                </pt>
                <pt idx="10">
                  <v>B | SKU11 | HD Externo 2TB</v>
                </pt>
                <pt idx="11">
                  <v>B | SKU12 | Teclado Mecanico RGB</v>
                </pt>
                <pt idx="12">
                  <v>C | SKU13 | Pen Drive 64GB</v>
                </pt>
                <pt idx="13">
                  <v>C | SKU14 | Headset com Microfon</v>
                </pt>
                <pt idx="14">
                  <v>C | SKU15 | Pacote de Papel A4</v>
                </pt>
                <pt idx="15">
                  <v>C | SKU16 | Filtro de Linha 5 To</v>
                </pt>
                <pt idx="16">
                  <v>C | SKU17 | Cabo HDMI 2m</v>
                </pt>
                <pt idx="17">
                  <v>C | SKU18 | Adaptador USB-C</v>
                </pt>
                <pt idx="18">
                  <v>C | SKU20 | Patch Cord RJ45 1m</v>
                </pt>
                <pt idx="19">
                  <v>C | SKU19 | Mouse Optico Simples</v>
                </pt>
              </strCache>
            </strRef>
          </cat>
          <val>
            <numRef>
              <f>'🟡 01'!$T$12:$T$31</f>
              <numCache>
                <formatCode>0%</formatCode>
                <ptCount val="20"/>
                <pt idx="0">
                  <v>0.35308</v>
                </pt>
                <pt idx="1">
                  <v>0.63243</v>
                </pt>
                <pt idx="2">
                  <v>0.72633</v>
                </pt>
                <pt idx="3">
                  <v>0.79809</v>
                </pt>
                <pt idx="4">
                  <v>0.82463</v>
                </pt>
                <pt idx="5">
                  <v>0.85102</v>
                </pt>
                <pt idx="6">
                  <v>0.87392</v>
                </pt>
                <pt idx="7">
                  <v>0.89014</v>
                </pt>
                <pt idx="8">
                  <v>0.90527</v>
                </pt>
                <pt idx="9">
                  <v>0.92017</v>
                </pt>
                <pt idx="10">
                  <v>0.93191</v>
                </pt>
                <pt idx="11">
                  <v>0.94354</v>
                </pt>
                <pt idx="12">
                  <v>0.95472</v>
                </pt>
                <pt idx="13">
                  <v>0.96565</v>
                </pt>
                <pt idx="14">
                  <v>0.97594</v>
                </pt>
                <pt idx="15">
                  <v>0.98277</v>
                </pt>
                <pt idx="16">
                  <v>0.98859</v>
                </pt>
                <pt idx="17">
                  <v>0.99348</v>
                </pt>
                <pt idx="18">
                  <v>0.99721</v>
                </pt>
                <pt idx="19">
                  <v>1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02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02'!$Q$12:$Q$41</f>
              <numCache>
                <formatCode>General</formatCode>
                <ptCount val="30"/>
                <pt idx="0">
                  <v>337500</v>
                </pt>
                <pt idx="1">
                  <v>228000</v>
                </pt>
                <pt idx="2">
                  <v>201600</v>
                </pt>
                <pt idx="3">
                  <v>48000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02'!$R$12:$R$41</f>
              <numCache>
                <formatCode>General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44000</v>
                </pt>
                <pt idx="5">
                  <v>37000</v>
                </pt>
                <pt idx="6">
                  <v>17100</v>
                </pt>
                <pt idx="7">
                  <v>12800</v>
                </pt>
                <pt idx="8">
                  <v>12750</v>
                </pt>
                <pt idx="9">
                  <v>11250</v>
                </pt>
                <pt idx="10">
                  <v>10450</v>
                </pt>
                <pt idx="11">
                  <v>9600</v>
                </pt>
                <pt idx="12">
                  <v>7560</v>
                </pt>
                <pt idx="13">
                  <v>7500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02'!$S$12:$S$41</f>
              <numCache>
                <formatCode>General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6750</v>
                </pt>
                <pt idx="15">
                  <v>6600</v>
                </pt>
                <pt idx="16">
                  <v>5600</v>
                </pt>
                <pt idx="17">
                  <v>4500</v>
                </pt>
                <pt idx="18">
                  <v>4400</v>
                </pt>
                <pt idx="19">
                  <v>3960</v>
                </pt>
                <pt idx="20">
                  <v>3600</v>
                </pt>
                <pt idx="21">
                  <v>3150</v>
                </pt>
                <pt idx="22">
                  <v>2800</v>
                </pt>
                <pt idx="23">
                  <v>2125</v>
                </pt>
                <pt idx="24">
                  <v>2000</v>
                </pt>
                <pt idx="25">
                  <v>1800</v>
                </pt>
                <pt idx="26">
                  <v>1800</v>
                </pt>
                <pt idx="27">
                  <v>1575</v>
                </pt>
                <pt idx="28">
                  <v>1575</v>
                </pt>
                <pt idx="29">
                  <v>1500</v>
                </pt>
              </numCache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'🔴 02'!$P$12:$P$41</f>
              <strCache>
                <ptCount val="30"/>
                <pt idx="0">
                  <v>A | SKU01 | Servidor Rack Dell P</v>
                </pt>
                <pt idx="1">
                  <v>A | SKU02 | Workstation Grafica</v>
                </pt>
                <pt idx="2">
                  <v>A | SKU03 | Notebook i7 32GB RAM</v>
                </pt>
                <pt idx="3">
                  <v>A | SKU04 | Switch Gerenciavel 4</v>
                </pt>
                <pt idx="4">
                  <v>B | SKU05 | Placa de Video RTX</v>
                </pt>
                <pt idx="5">
                  <v>B | SKU06 | Storage NAS 40TB</v>
                </pt>
                <pt idx="6">
                  <v>B | SKU07 | Memoria RAM 16GB</v>
                </pt>
                <pt idx="7">
                  <v>B | SKU08 | Toner Impressora Las</v>
                </pt>
                <pt idx="8">
                  <v>B | SKU09 | Monitor LED 24"</v>
                </pt>
                <pt idx="9">
                  <v>B | SKU10 | Roteador Wi-Fi 6</v>
                </pt>
                <pt idx="10">
                  <v>B | SKU11 | SSD 480GB Sata</v>
                </pt>
                <pt idx="11">
                  <v>B | SKU12 | Nobreak 1500VA</v>
                </pt>
                <pt idx="12">
                  <v>B | SKU13 | HD Externo 2TB</v>
                </pt>
                <pt idx="13">
                  <v>B | SKU14 | Teclado Mecanico RGB</v>
                </pt>
                <pt idx="14">
                  <v>C | SKU15 | Pen Drive 64GB</v>
                </pt>
                <pt idx="15">
                  <v>C | SKU16 | Headset com Microfon</v>
                </pt>
                <pt idx="16">
                  <v>C | SKU17 | Pacote de Papel A4</v>
                </pt>
                <pt idx="17">
                  <v>C | SKU18 | Teclado de Entrada</v>
                </pt>
                <pt idx="18">
                  <v>C | SKU19 | Filtro de Linha</v>
                </pt>
                <pt idx="19">
                  <v>C | SKU20 | Webcam Full HD</v>
                </pt>
                <pt idx="20">
                  <v>C | SKU21 | Pilhas AA (Pacote)</v>
                </pt>
                <pt idx="21">
                  <v>C | SKU22 | Adaptador USB-C</v>
                </pt>
                <pt idx="22">
                  <v>C | SKU23 | Suporte para Monitor</v>
                </pt>
                <pt idx="23">
                  <v>C | SKU24 | Cabo HDMI 2m</v>
                </pt>
                <pt idx="24">
                  <v>C | SKU25 | Mousepad Simples</v>
                </pt>
                <pt idx="25">
                  <v>C | SKU26 | Mouse Optico Simples</v>
                </pt>
                <pt idx="26">
                  <v>C | SKU27 | Organizador de Cabos</v>
                </pt>
                <pt idx="27">
                  <v>C | SKU28 | Ar comprimido (Lata)</v>
                </pt>
                <pt idx="28">
                  <v>C | SKU29 | Pasta Termica</v>
                </pt>
                <pt idx="29">
                  <v>C | SKU30 | Conector RJ45 (Cento</v>
                </pt>
              </strCache>
            </strRef>
          </cat>
          <val>
            <numRef>
              <f>'🔴 02'!$T$12:$T$41</f>
              <numCache>
                <formatCode>0%</formatCode>
                <ptCount val="30"/>
                <pt idx="0">
                  <v>0.32488</v>
                </pt>
                <pt idx="1">
                  <v>0.54435</v>
                </pt>
                <pt idx="2">
                  <v>0.73842</v>
                </pt>
                <pt idx="3">
                  <v>0.78462</v>
                </pt>
                <pt idx="4">
                  <v>0.82698</v>
                </pt>
                <pt idx="5">
                  <v>0.86259</v>
                </pt>
                <pt idx="6">
                  <v>0.87905</v>
                </pt>
                <pt idx="7">
                  <v>0.89137</v>
                </pt>
                <pt idx="8">
                  <v>0.90365</v>
                </pt>
                <pt idx="9">
                  <v>0.91448</v>
                </pt>
                <pt idx="10">
                  <v>0.92454</v>
                </pt>
                <pt idx="11">
                  <v>0.93378</v>
                </pt>
                <pt idx="12">
                  <v>0.94105</v>
                </pt>
                <pt idx="13">
                  <v>0.94827</v>
                </pt>
                <pt idx="14">
                  <v>0.95477</v>
                </pt>
                <pt idx="15">
                  <v>0.96113</v>
                </pt>
                <pt idx="16">
                  <v>0.96652</v>
                </pt>
                <pt idx="17">
                  <v>0.97085</v>
                </pt>
                <pt idx="18">
                  <v>0.97508</v>
                </pt>
                <pt idx="19">
                  <v>0.97889</v>
                </pt>
                <pt idx="20">
                  <v>0.98236</v>
                </pt>
                <pt idx="21">
                  <v>0.98539</v>
                </pt>
                <pt idx="22">
                  <v>0.98809</v>
                </pt>
                <pt idx="23">
                  <v>0.99013</v>
                </pt>
                <pt idx="24">
                  <v>0.99206</v>
                </pt>
                <pt idx="25">
                  <v>0.99379</v>
                </pt>
                <pt idx="26">
                  <v>0.99552</v>
                </pt>
                <pt idx="27">
                  <v>0.99704</v>
                </pt>
                <pt idx="28">
                  <v>0.99856</v>
                </pt>
                <pt idx="29">
                  <v>1</v>
                </pt>
              </numCache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ordenados por V.T. decrescente (nome + classe no rotulo)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2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3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T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53">
        <f>IFERROR(SUMIF($G$12:$G$21,"&gt;="&amp;G12,$G$12:$G$21)/SUM($G$12:$G$21),0)</f>
        <v/>
      </c>
      <c r="P12" t="inlineStr">
        <is>
          <t>A | SKU01 | Servidor Backup</t>
        </is>
      </c>
      <c r="Q12" t="n">
        <v>50000</v>
      </c>
      <c r="R12" t="n">
        <v>0</v>
      </c>
      <c r="S12" t="n">
        <v>0</v>
      </c>
      <c r="T12" t="n">
        <v>0.37781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53">
        <f>IFERROR(SUMIF($G$12:$G$21,"&gt;="&amp;G13,$G$12:$G$21)/SUM($G$12:$G$21),0)</f>
        <v/>
      </c>
      <c r="P13" t="inlineStr">
        <is>
          <t>A | SKU02 | Monitor 27" 4K</t>
        </is>
      </c>
      <c r="Q13" t="n">
        <v>30000</v>
      </c>
      <c r="R13" t="n">
        <v>0</v>
      </c>
      <c r="S13" t="n">
        <v>0</v>
      </c>
      <c r="T13" t="n">
        <v>0.6045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53">
        <f>IFERROR(SUMIF($G$12:$G$21,"&gt;="&amp;G14,$G$12:$G$21)/SUM($G$12:$G$21),0)</f>
        <v/>
      </c>
      <c r="P14" t="inlineStr">
        <is>
          <t>B | SKU03 | Notebook Administrat</t>
        </is>
      </c>
      <c r="Q14" t="n">
        <v>0</v>
      </c>
      <c r="R14" t="n">
        <v>27000</v>
      </c>
      <c r="S14" t="n">
        <v>0</v>
      </c>
      <c r="T14" t="n">
        <v>0.80852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53">
        <f>IFERROR(SUMIF($G$12:$G$21,"&gt;="&amp;G15,$G$12:$G$21)/SUM($G$12:$G$21),0)</f>
        <v/>
      </c>
      <c r="P15" t="inlineStr">
        <is>
          <t>B | SKU04 | Nobreak Profissional</t>
        </is>
      </c>
      <c r="Q15" t="n">
        <v>0</v>
      </c>
      <c r="R15" t="n">
        <v>10000</v>
      </c>
      <c r="S15" t="n">
        <v>0</v>
      </c>
      <c r="T15" t="n">
        <v>0.88409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53">
        <f>IFERROR(SUMIF($G$12:$G$21,"&gt;="&amp;G16,$G$12:$G$21)/SUM($G$12:$G$21),0)</f>
        <v/>
      </c>
      <c r="P16" t="inlineStr">
        <is>
          <t>B | SKU05 | Switch Gerenciavel</t>
        </is>
      </c>
      <c r="Q16" t="n">
        <v>0</v>
      </c>
      <c r="R16" t="n">
        <v>6000</v>
      </c>
      <c r="S16" t="n">
        <v>0</v>
      </c>
      <c r="T16" t="n">
        <v>0.92942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Mouse sem fio</t>
        </is>
      </c>
      <c r="E17" s="50" t="n">
        <v>40</v>
      </c>
      <c r="F17" s="51" t="n">
        <v>50</v>
      </c>
      <c r="G17" s="52">
        <f>IFERROR(E17*F17,0)</f>
        <v/>
      </c>
      <c r="H17" s="53">
        <f>IFERROR(G17/SUM($G$12:$G$21),0)</f>
        <v/>
      </c>
      <c r="I17" s="53">
        <f>IFERROR(SUMIF($G$12:$G$21,"&gt;="&amp;G17,$G$12:$G$21)/SUM($G$12:$G$21),0)</f>
        <v/>
      </c>
      <c r="P17" t="inlineStr">
        <is>
          <t>C | SKU08 | Teclado USB</t>
        </is>
      </c>
      <c r="Q17" t="n">
        <v>0</v>
      </c>
      <c r="R17" t="n">
        <v>0</v>
      </c>
      <c r="S17" t="n">
        <v>2800</v>
      </c>
      <c r="T17" t="n">
        <v>0.95058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8</v>
      </c>
      <c r="D18" s="49" t="inlineStr">
        <is>
          <t>Patch Cord 1m</t>
        </is>
      </c>
      <c r="E18" s="50" t="n">
        <v>100</v>
      </c>
      <c r="F18" s="51" t="n">
        <v>15</v>
      </c>
      <c r="G18" s="52">
        <f>IFERROR(E18*F18,0)</f>
        <v/>
      </c>
      <c r="H18" s="53">
        <f>IFERROR(G18/SUM($G$12:$G$21),0)</f>
        <v/>
      </c>
      <c r="I18" s="53">
        <f>IFERROR(SUMIF($G$12:$G$21,"&gt;="&amp;G18,$G$12:$G$21)/SUM($G$12:$G$21),0)</f>
        <v/>
      </c>
      <c r="P18" t="inlineStr">
        <is>
          <t>C | SKU06 | Mouse sem fio</t>
        </is>
      </c>
      <c r="Q18" t="n">
        <v>0</v>
      </c>
      <c r="R18" t="n">
        <v>0</v>
      </c>
      <c r="S18" t="n">
        <v>2000</v>
      </c>
      <c r="T18" t="n">
        <v>0.96569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6</v>
      </c>
      <c r="D19" s="49" t="inlineStr">
        <is>
          <t>Teclado USB</t>
        </is>
      </c>
      <c r="E19" s="50" t="n">
        <v>80</v>
      </c>
      <c r="F19" s="51" t="n">
        <v>35</v>
      </c>
      <c r="G19" s="52">
        <f>IFERROR(E19*F19,0)</f>
        <v/>
      </c>
      <c r="H19" s="53">
        <f>IFERROR(G19/SUM($G$12:$G$21),0)</f>
        <v/>
      </c>
      <c r="I19" s="53">
        <f>IFERROR(SUMIF($G$12:$G$21,"&gt;="&amp;G19,$G$12:$G$21)/SUM($G$12:$G$21),0)</f>
        <v/>
      </c>
      <c r="P19" t="inlineStr">
        <is>
          <t>C | SKU09 | Cabo Rede Cat6 (m)</t>
        </is>
      </c>
      <c r="Q19" t="n">
        <v>0</v>
      </c>
      <c r="R19" t="n">
        <v>0</v>
      </c>
      <c r="S19" t="n">
        <v>1600</v>
      </c>
      <c r="T19" t="n">
        <v>0.97778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2</v>
      </c>
      <c r="D20" s="49" t="inlineStr">
        <is>
          <t>Cabo Rede Cat6 (m)</t>
        </is>
      </c>
      <c r="E20" s="50" t="n">
        <v>200</v>
      </c>
      <c r="F20" s="51" t="n">
        <v>8</v>
      </c>
      <c r="G20" s="52">
        <f>IFERROR(E20*F20,0)</f>
        <v/>
      </c>
      <c r="H20" s="53">
        <f>IFERROR(G20/SUM($G$12:$G$21),0)</f>
        <v/>
      </c>
      <c r="I20" s="53">
        <f>IFERROR(SUMIF($G$12:$G$21,"&gt;="&amp;G20,$G$12:$G$21)/SUM($G$12:$G$21),0)</f>
        <v/>
      </c>
      <c r="P20" t="inlineStr">
        <is>
          <t>C | SKU07 | Patch Cord 1m</t>
        </is>
      </c>
      <c r="Q20" t="n">
        <v>0</v>
      </c>
      <c r="R20" t="n">
        <v>0</v>
      </c>
      <c r="S20" t="n">
        <v>1500</v>
      </c>
      <c r="T20" t="n">
        <v>0.98912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53">
        <f>IFERROR(SUMIF($G$12:$G$21,"&gt;="&amp;G21,$G$12:$G$21)/SUM($G$12:$G$21),0)</f>
        <v/>
      </c>
      <c r="P21" t="inlineStr">
        <is>
          <t>C | SKU10 | Mousepad Slim</t>
        </is>
      </c>
      <c r="Q21" t="n">
        <v>0</v>
      </c>
      <c r="R21" t="n">
        <v>0</v>
      </c>
      <c r="S21" t="n">
        <v>1440</v>
      </c>
      <c r="T21" t="n">
        <v>1</v>
      </c>
    </row>
    <row r="22" ht="24" customHeight="1">
      <c r="A22" s="54" t="inlineStr">
        <is>
          <t>TOTAL GERAL</t>
        </is>
      </c>
      <c r="B22" s="55" t="n"/>
      <c r="C22" s="55" t="n"/>
      <c r="D22" s="55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T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53">
        <f>IFERROR(SUMIF($G$12:$G$31,"&gt;="&amp;G12,$G$12:$G$31)/SUM($G$12:$G$31),0)</f>
        <v/>
      </c>
      <c r="P12" t="inlineStr">
        <is>
          <t>A | SKU01 | Notebook Executivo i</t>
        </is>
      </c>
      <c r="Q12" t="n">
        <v>227500</v>
      </c>
      <c r="R12" t="n">
        <v>0</v>
      </c>
      <c r="S12" t="n">
        <v>0</v>
      </c>
      <c r="T12" t="n">
        <v>0.35308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53">
        <f>IFERROR(SUMIF($G$12:$G$31,"&gt;="&amp;G13,$G$12:$G$31)/SUM($G$12:$G$31),0)</f>
        <v/>
      </c>
      <c r="P13" t="inlineStr">
        <is>
          <t>A | SKU02 | Servidor de Dados Pr</t>
        </is>
      </c>
      <c r="Q13" t="n">
        <v>180000</v>
      </c>
      <c r="R13" t="n">
        <v>0</v>
      </c>
      <c r="S13" t="n">
        <v>0</v>
      </c>
      <c r="T13" t="n">
        <v>0.63243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53">
        <f>IFERROR(SUMIF($G$12:$G$31,"&gt;="&amp;G14,$G$12:$G$31)/SUM($G$12:$G$31),0)</f>
        <v/>
      </c>
      <c r="P14" t="inlineStr">
        <is>
          <t>A | SKU03 | Impressora Multifunc</t>
        </is>
      </c>
      <c r="Q14" t="n">
        <v>60500</v>
      </c>
      <c r="R14" t="n">
        <v>0</v>
      </c>
      <c r="S14" t="n">
        <v>0</v>
      </c>
      <c r="T14" t="n">
        <v>0.72633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53">
        <f>IFERROR(SUMIF($G$12:$G$31,"&gt;="&amp;G15,$G$12:$G$31)/SUM($G$12:$G$31),0)</f>
        <v/>
      </c>
      <c r="P15" t="inlineStr">
        <is>
          <t>A | SKU04 | Toner Impressora Las</t>
        </is>
      </c>
      <c r="Q15" t="n">
        <v>46240</v>
      </c>
      <c r="R15" t="n">
        <v>0</v>
      </c>
      <c r="S15" t="n">
        <v>0</v>
      </c>
      <c r="T15" t="n">
        <v>0.79809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53">
        <f>IFERROR(SUMIF($G$12:$G$31,"&gt;="&amp;G16,$G$12:$G$31)/SUM($G$12:$G$31),0)</f>
        <v/>
      </c>
      <c r="P16" t="inlineStr">
        <is>
          <t>B | SKU05 | Memoria RAM 16GB</t>
        </is>
      </c>
      <c r="Q16" t="n">
        <v>0</v>
      </c>
      <c r="R16" t="n">
        <v>17100</v>
      </c>
      <c r="S16" t="n">
        <v>0</v>
      </c>
      <c r="T16" t="n">
        <v>0.82463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53">
        <f>IFERROR(SUMIF($G$12:$G$31,"&gt;="&amp;G17,$G$12:$G$31)/SUM($G$12:$G$31),0)</f>
        <v/>
      </c>
      <c r="P17" t="inlineStr">
        <is>
          <t>B | SKU06 | Monitor LED 24"</t>
        </is>
      </c>
      <c r="Q17" t="n">
        <v>0</v>
      </c>
      <c r="R17" t="n">
        <v>17000</v>
      </c>
      <c r="S17" t="n">
        <v>0</v>
      </c>
      <c r="T17" t="n">
        <v>0.85102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53">
        <f>IFERROR(SUMIF($G$12:$G$31,"&gt;="&amp;G18,$G$12:$G$31)/SUM($G$12:$G$31),0)</f>
        <v/>
      </c>
      <c r="P18" t="inlineStr">
        <is>
          <t>B | SKU07 | Webcam Full HD</t>
        </is>
      </c>
      <c r="Q18" t="n">
        <v>0</v>
      </c>
      <c r="R18" t="n">
        <v>14760</v>
      </c>
      <c r="S18" t="n">
        <v>0</v>
      </c>
      <c r="T18" t="n">
        <v>0.87392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11</v>
      </c>
      <c r="D19" s="49" t="inlineStr">
        <is>
          <t>Roteador Wi-Fi 6</t>
        </is>
      </c>
      <c r="E19" s="50" t="n">
        <v>15</v>
      </c>
      <c r="F19" s="51" t="n">
        <v>650</v>
      </c>
      <c r="G19" s="52">
        <f>IFERROR(E19*F19,0)</f>
        <v/>
      </c>
      <c r="H19" s="53">
        <f>IFERROR(G19/SUM($G$12:$G$31),0)</f>
        <v/>
      </c>
      <c r="I19" s="53">
        <f>IFERROR(SUMIF($G$12:$G$31,"&gt;="&amp;G19,$G$12:$G$31)/SUM($G$12:$G$31),0)</f>
        <v/>
      </c>
      <c r="P19" t="inlineStr">
        <is>
          <t>B | SKU09 | SSD 480GB Sata</t>
        </is>
      </c>
      <c r="Q19" t="n">
        <v>0</v>
      </c>
      <c r="R19" t="n">
        <v>10450</v>
      </c>
      <c r="S19" t="n">
        <v>0</v>
      </c>
      <c r="T19" t="n">
        <v>0.89014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15</v>
      </c>
      <c r="D20" s="49" t="inlineStr">
        <is>
          <t>SSD 480GB Sata</t>
        </is>
      </c>
      <c r="E20" s="50" t="n">
        <v>55</v>
      </c>
      <c r="F20" s="51" t="n">
        <v>190</v>
      </c>
      <c r="G20" s="52">
        <f>IFERROR(E20*F20,0)</f>
        <v/>
      </c>
      <c r="H20" s="53">
        <f>IFERROR(G20/SUM($G$12:$G$31),0)</f>
        <v/>
      </c>
      <c r="I20" s="53">
        <f>IFERROR(SUMIF($G$12:$G$31,"&gt;="&amp;G20,$G$12:$G$31)/SUM($G$12:$G$31),0)</f>
        <v/>
      </c>
      <c r="P20" t="inlineStr">
        <is>
          <t>B | SKU08 | Roteador Wi-Fi 6</t>
        </is>
      </c>
      <c r="Q20" t="n">
        <v>0</v>
      </c>
      <c r="R20" t="n">
        <v>9750</v>
      </c>
      <c r="S20" t="n">
        <v>0</v>
      </c>
      <c r="T20" t="n">
        <v>0.90527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53">
        <f>IFERROR(SUMIF($G$12:$G$31,"&gt;="&amp;G21,$G$12:$G$31)/SUM($G$12:$G$31),0)</f>
        <v/>
      </c>
      <c r="P21" t="inlineStr">
        <is>
          <t>B | SKU10 | Nobreak 1500VA</t>
        </is>
      </c>
      <c r="Q21" t="n">
        <v>0</v>
      </c>
      <c r="R21" t="n">
        <v>9600</v>
      </c>
      <c r="S21" t="n">
        <v>0</v>
      </c>
      <c r="T21" t="n">
        <v>0.92017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53">
        <f>IFERROR(SUMIF($G$12:$G$31,"&gt;="&amp;G22,$G$12:$G$31)/SUM($G$12:$G$31),0)</f>
        <v/>
      </c>
      <c r="P22" t="inlineStr">
        <is>
          <t>B | SKU11 | HD Externo 2TB</t>
        </is>
      </c>
      <c r="Q22" t="n">
        <v>0</v>
      </c>
      <c r="R22" t="n">
        <v>7560</v>
      </c>
      <c r="S22" t="n">
        <v>0</v>
      </c>
      <c r="T22" t="n">
        <v>0.93191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53">
        <f>IFERROR(SUMIF($G$12:$G$31,"&gt;="&amp;G23,$G$12:$G$31)/SUM($G$12:$G$31),0)</f>
        <v/>
      </c>
      <c r="P23" t="inlineStr">
        <is>
          <t>B | SKU12 | Teclado Mecanico RGB</t>
        </is>
      </c>
      <c r="Q23" t="n">
        <v>0</v>
      </c>
      <c r="R23" t="n">
        <v>7500</v>
      </c>
      <c r="S23" t="n">
        <v>0</v>
      </c>
      <c r="T23" t="n">
        <v>0.94354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53">
        <f>IFERROR(SUMIF($G$12:$G$31,"&gt;="&amp;G24,$G$12:$G$31)/SUM($G$12:$G$31),0)</f>
        <v/>
      </c>
      <c r="P24" t="inlineStr">
        <is>
          <t>C | SKU13 | Pen Drive 64GB</t>
        </is>
      </c>
      <c r="Q24" t="n">
        <v>0</v>
      </c>
      <c r="R24" t="n">
        <v>0</v>
      </c>
      <c r="S24" t="n">
        <v>7200</v>
      </c>
      <c r="T24" t="n">
        <v>0.95472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53">
        <f>IFERROR(SUMIF($G$12:$G$31,"&gt;="&amp;G25,$G$12:$G$31)/SUM($G$12:$G$31),0)</f>
        <v/>
      </c>
      <c r="P25" t="inlineStr">
        <is>
          <t>C | SKU14 | Headset com Microfon</t>
        </is>
      </c>
      <c r="Q25" t="n">
        <v>0</v>
      </c>
      <c r="R25" t="n">
        <v>0</v>
      </c>
      <c r="S25" t="n">
        <v>7040</v>
      </c>
      <c r="T25" t="n">
        <v>0.96565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53">
        <f>IFERROR(SUMIF($G$12:$G$31,"&gt;="&amp;G26,$G$12:$G$31)/SUM($G$12:$G$31),0)</f>
        <v/>
      </c>
      <c r="P26" t="inlineStr">
        <is>
          <t>C | SKU15 | Pacote de Papel A4</t>
        </is>
      </c>
      <c r="Q26" t="n">
        <v>0</v>
      </c>
      <c r="R26" t="n">
        <v>0</v>
      </c>
      <c r="S26" t="n">
        <v>6636</v>
      </c>
      <c r="T26" t="n">
        <v>0.97594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53">
        <f>IFERROR(SUMIF($G$12:$G$31,"&gt;="&amp;G27,$G$12:$G$31)/SUM($G$12:$G$31),0)</f>
        <v/>
      </c>
      <c r="P27" t="inlineStr">
        <is>
          <t>C | SKU16 | Filtro de Linha 5 To</t>
        </is>
      </c>
      <c r="Q27" t="n">
        <v>0</v>
      </c>
      <c r="R27" t="n">
        <v>0</v>
      </c>
      <c r="S27" t="n">
        <v>4400</v>
      </c>
      <c r="T27" t="n">
        <v>0.98277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53">
        <f>IFERROR(SUMIF($G$12:$G$31,"&gt;="&amp;G28,$G$12:$G$31)/SUM($G$12:$G$31),0)</f>
        <v/>
      </c>
      <c r="P28" t="inlineStr">
        <is>
          <t>C | SKU17 | Cabo HDMI 2m</t>
        </is>
      </c>
      <c r="Q28" t="n">
        <v>0</v>
      </c>
      <c r="R28" t="n">
        <v>0</v>
      </c>
      <c r="S28" t="n">
        <v>3750</v>
      </c>
      <c r="T28" t="n">
        <v>0.98859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53">
        <f>IFERROR(SUMIF($G$12:$G$31,"&gt;="&amp;G29,$G$12:$G$31)/SUM($G$12:$G$31),0)</f>
        <v/>
      </c>
      <c r="P29" t="inlineStr">
        <is>
          <t>C | SKU18 | Adaptador USB-C</t>
        </is>
      </c>
      <c r="Q29" t="n">
        <v>0</v>
      </c>
      <c r="R29" t="n">
        <v>0</v>
      </c>
      <c r="S29" t="n">
        <v>3150</v>
      </c>
      <c r="T29" t="n">
        <v>0.99348</v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3</v>
      </c>
      <c r="D30" s="49" t="inlineStr">
        <is>
          <t>Mouse Optico Simples</t>
        </is>
      </c>
      <c r="E30" s="50" t="n">
        <v>120</v>
      </c>
      <c r="F30" s="51" t="n">
        <v>15</v>
      </c>
      <c r="G30" s="52">
        <f>IFERROR(E30*F30,0)</f>
        <v/>
      </c>
      <c r="H30" s="53">
        <f>IFERROR(G30/SUM($G$12:$G$31),0)</f>
        <v/>
      </c>
      <c r="I30" s="53">
        <f>IFERROR(SUMIF($G$12:$G$31,"&gt;="&amp;G30,$G$12:$G$31)/SUM($G$12:$G$31),0)</f>
        <v/>
      </c>
      <c r="P30" t="inlineStr">
        <is>
          <t>C | SKU20 | Patch Cord RJ45 1m</t>
        </is>
      </c>
      <c r="Q30" t="n">
        <v>0</v>
      </c>
      <c r="R30" t="n">
        <v>0</v>
      </c>
      <c r="S30" t="n">
        <v>2400</v>
      </c>
      <c r="T30" t="n">
        <v>0.99721</v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8</v>
      </c>
      <c r="D31" s="49" t="inlineStr">
        <is>
          <t>Patch Cord RJ45 1m</t>
        </is>
      </c>
      <c r="E31" s="50" t="n">
        <v>200</v>
      </c>
      <c r="F31" s="51" t="n">
        <v>12</v>
      </c>
      <c r="G31" s="52">
        <f>IFERROR(E31*F31,0)</f>
        <v/>
      </c>
      <c r="H31" s="53">
        <f>IFERROR(G31/SUM($G$12:$G$31),0)</f>
        <v/>
      </c>
      <c r="I31" s="53">
        <f>IFERROR(SUMIF($G$12:$G$31,"&gt;="&amp;G31,$G$12:$G$31)/SUM($G$12:$G$31),0)</f>
        <v/>
      </c>
      <c r="P31" t="inlineStr">
        <is>
          <t>C | SKU19 | Mouse Optico Simples</t>
        </is>
      </c>
      <c r="Q31" t="n">
        <v>0</v>
      </c>
      <c r="R31" t="n">
        <v>0</v>
      </c>
      <c r="S31" t="n">
        <v>1800</v>
      </c>
      <c r="T31" t="n">
        <v>1</v>
      </c>
    </row>
    <row r="32" ht="24" customHeight="1">
      <c r="A32" s="54" t="inlineStr">
        <is>
          <t>TOTAL GERAL</t>
        </is>
      </c>
      <c r="B32" s="55" t="n"/>
      <c r="C32" s="55" t="n"/>
      <c r="D32" s="55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B0000"/>
    <outlinePr summaryBelow="1" summaryRight="1"/>
    <pageSetUpPr/>
  </sheetPr>
  <dimension ref="A1:T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53">
        <f>IFERROR(SUMIF($G$12:$G$41,"&gt;="&amp;G12,$G$12:$G$41)/SUM($G$12:$G$41),0)</f>
        <v/>
      </c>
      <c r="P12" t="inlineStr">
        <is>
          <t>A | SKU01 | Servidor Rack Dell P</t>
        </is>
      </c>
      <c r="Q12" t="n">
        <v>337500</v>
      </c>
      <c r="R12" t="n">
        <v>0</v>
      </c>
      <c r="S12" t="n">
        <v>0</v>
      </c>
      <c r="T12" t="n">
        <v>0.32488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53">
        <f>IFERROR(SUMIF($G$12:$G$41,"&gt;="&amp;G13,$G$12:$G$41)/SUM($G$12:$G$41),0)</f>
        <v/>
      </c>
      <c r="P13" t="inlineStr">
        <is>
          <t>A | SKU02 | Workstation Grafica</t>
        </is>
      </c>
      <c r="Q13" t="n">
        <v>228000</v>
      </c>
      <c r="R13" t="n">
        <v>0</v>
      </c>
      <c r="S13" t="n">
        <v>0</v>
      </c>
      <c r="T13" t="n">
        <v>0.54435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53">
        <f>IFERROR(SUMIF($G$12:$G$41,"&gt;="&amp;G14,$G$12:$G$41)/SUM($G$12:$G$41),0)</f>
        <v/>
      </c>
      <c r="P14" t="inlineStr">
        <is>
          <t>A | SKU03 | Notebook i7 32GB RAM</t>
        </is>
      </c>
      <c r="Q14" t="n">
        <v>201600</v>
      </c>
      <c r="R14" t="n">
        <v>0</v>
      </c>
      <c r="S14" t="n">
        <v>0</v>
      </c>
      <c r="T14" t="n">
        <v>0.73842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53">
        <f>IFERROR(SUMIF($G$12:$G$41,"&gt;="&amp;G15,$G$12:$G$41)/SUM($G$12:$G$41),0)</f>
        <v/>
      </c>
      <c r="P15" t="inlineStr">
        <is>
          <t>A | SKU04 | Switch Gerenciavel 4</t>
        </is>
      </c>
      <c r="Q15" t="n">
        <v>48000</v>
      </c>
      <c r="R15" t="n">
        <v>0</v>
      </c>
      <c r="S15" t="n">
        <v>0</v>
      </c>
      <c r="T15" t="n">
        <v>0.78462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53">
        <f>IFERROR(SUMIF($G$12:$G$41,"&gt;="&amp;G16,$G$12:$G$41)/SUM($G$12:$G$41),0)</f>
        <v/>
      </c>
      <c r="P16" t="inlineStr">
        <is>
          <t>B | SKU05 | Placa de Video RTX</t>
        </is>
      </c>
      <c r="Q16" t="n">
        <v>0</v>
      </c>
      <c r="R16" t="n">
        <v>44000</v>
      </c>
      <c r="S16" t="n">
        <v>0</v>
      </c>
      <c r="T16" t="n">
        <v>0.82698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53">
        <f>IFERROR(SUMIF($G$12:$G$41,"&gt;="&amp;G17,$G$12:$G$41)/SUM($G$12:$G$41),0)</f>
        <v/>
      </c>
      <c r="P17" t="inlineStr">
        <is>
          <t>B | SKU06 | Storage NAS 40TB</t>
        </is>
      </c>
      <c r="Q17" t="n">
        <v>0</v>
      </c>
      <c r="R17" t="n">
        <v>37000</v>
      </c>
      <c r="S17" t="n">
        <v>0</v>
      </c>
      <c r="T17" t="n">
        <v>0.86259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53">
        <f>IFERROR(SUMIF($G$12:$G$41,"&gt;="&amp;G18,$G$12:$G$41)/SUM($G$12:$G$41),0)</f>
        <v/>
      </c>
      <c r="P18" t="inlineStr">
        <is>
          <t>B | SKU07 | Memoria RAM 16GB</t>
        </is>
      </c>
      <c r="Q18" t="n">
        <v>0</v>
      </c>
      <c r="R18" t="n">
        <v>17100</v>
      </c>
      <c r="S18" t="n">
        <v>0</v>
      </c>
      <c r="T18" t="n">
        <v>0.87905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53">
        <f>IFERROR(SUMIF($G$12:$G$41,"&gt;="&amp;G19,$G$12:$G$41)/SUM($G$12:$G$41),0)</f>
        <v/>
      </c>
      <c r="P19" t="inlineStr">
        <is>
          <t>B | SKU08 | Toner Impressora Las</t>
        </is>
      </c>
      <c r="Q19" t="n">
        <v>0</v>
      </c>
      <c r="R19" t="n">
        <v>12800</v>
      </c>
      <c r="S19" t="n">
        <v>0</v>
      </c>
      <c r="T19" t="n">
        <v>0.89137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53">
        <f>IFERROR(SUMIF($G$12:$G$41,"&gt;="&amp;G20,$G$12:$G$41)/SUM($G$12:$G$41),0)</f>
        <v/>
      </c>
      <c r="P20" t="inlineStr">
        <is>
          <t>B | SKU09 | Monitor LED 24"</t>
        </is>
      </c>
      <c r="Q20" t="n">
        <v>0</v>
      </c>
      <c r="R20" t="n">
        <v>12750</v>
      </c>
      <c r="S20" t="n">
        <v>0</v>
      </c>
      <c r="T20" t="n">
        <v>0.90365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53">
        <f>IFERROR(SUMIF($G$12:$G$41,"&gt;="&amp;G21,$G$12:$G$41)/SUM($G$12:$G$41),0)</f>
        <v/>
      </c>
      <c r="P21" t="inlineStr">
        <is>
          <t>B | SKU10 | Roteador Wi-Fi 6</t>
        </is>
      </c>
      <c r="Q21" t="n">
        <v>0</v>
      </c>
      <c r="R21" t="n">
        <v>11250</v>
      </c>
      <c r="S21" t="n">
        <v>0</v>
      </c>
      <c r="T21" t="n">
        <v>0.91448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53">
        <f>IFERROR(SUMIF($G$12:$G$41,"&gt;="&amp;G22,$G$12:$G$41)/SUM($G$12:$G$41),0)</f>
        <v/>
      </c>
      <c r="P22" t="inlineStr">
        <is>
          <t>B | SKU11 | SSD 480GB Sata</t>
        </is>
      </c>
      <c r="Q22" t="n">
        <v>0</v>
      </c>
      <c r="R22" t="n">
        <v>10450</v>
      </c>
      <c r="S22" t="n">
        <v>0</v>
      </c>
      <c r="T22" t="n">
        <v>0.92454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53">
        <f>IFERROR(SUMIF($G$12:$G$41,"&gt;="&amp;G23,$G$12:$G$41)/SUM($G$12:$G$41),0)</f>
        <v/>
      </c>
      <c r="P23" t="inlineStr">
        <is>
          <t>B | SKU12 | Nobreak 1500VA</t>
        </is>
      </c>
      <c r="Q23" t="n">
        <v>0</v>
      </c>
      <c r="R23" t="n">
        <v>9600</v>
      </c>
      <c r="S23" t="n">
        <v>0</v>
      </c>
      <c r="T23" t="n">
        <v>0.9337800000000001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53">
        <f>IFERROR(SUMIF($G$12:$G$41,"&gt;="&amp;G24,$G$12:$G$41)/SUM($G$12:$G$41),0)</f>
        <v/>
      </c>
      <c r="P24" t="inlineStr">
        <is>
          <t>B | SKU13 | HD Externo 2TB</t>
        </is>
      </c>
      <c r="Q24" t="n">
        <v>0</v>
      </c>
      <c r="R24" t="n">
        <v>7560</v>
      </c>
      <c r="S24" t="n">
        <v>0</v>
      </c>
      <c r="T24" t="n">
        <v>0.9410500000000001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53">
        <f>IFERROR(SUMIF($G$12:$G$41,"&gt;="&amp;G25,$G$12:$G$41)/SUM($G$12:$G$41),0)</f>
        <v/>
      </c>
      <c r="P25" t="inlineStr">
        <is>
          <t>B | SKU14 | Teclado Mecanico RGB</t>
        </is>
      </c>
      <c r="Q25" t="n">
        <v>0</v>
      </c>
      <c r="R25" t="n">
        <v>7500</v>
      </c>
      <c r="S25" t="n">
        <v>0</v>
      </c>
      <c r="T25" t="n">
        <v>0.9482699999999999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53">
        <f>IFERROR(SUMIF($G$12:$G$41,"&gt;="&amp;G26,$G$12:$G$41)/SUM($G$12:$G$41),0)</f>
        <v/>
      </c>
      <c r="P26" t="inlineStr">
        <is>
          <t>C | SKU15 | Pen Drive 64GB</t>
        </is>
      </c>
      <c r="Q26" t="n">
        <v>0</v>
      </c>
      <c r="R26" t="n">
        <v>0</v>
      </c>
      <c r="S26" t="n">
        <v>6750</v>
      </c>
      <c r="T26" t="n">
        <v>0.95477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53">
        <f>IFERROR(SUMIF($G$12:$G$41,"&gt;="&amp;G27,$G$12:$G$41)/SUM($G$12:$G$41),0)</f>
        <v/>
      </c>
      <c r="P27" t="inlineStr">
        <is>
          <t>C | SKU16 | Headset com Microfon</t>
        </is>
      </c>
      <c r="Q27" t="n">
        <v>0</v>
      </c>
      <c r="R27" t="n">
        <v>0</v>
      </c>
      <c r="S27" t="n">
        <v>6600</v>
      </c>
      <c r="T27" t="n">
        <v>0.96113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53">
        <f>IFERROR(SUMIF($G$12:$G$41,"&gt;="&amp;G28,$G$12:$G$41)/SUM($G$12:$G$41),0)</f>
        <v/>
      </c>
      <c r="P28" t="inlineStr">
        <is>
          <t>C | SKU17 | Pacote de Papel A4</t>
        </is>
      </c>
      <c r="Q28" t="n">
        <v>0</v>
      </c>
      <c r="R28" t="n">
        <v>0</v>
      </c>
      <c r="S28" t="n">
        <v>5600</v>
      </c>
      <c r="T28" t="n">
        <v>0.96652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53">
        <f>IFERROR(SUMIF($G$12:$G$41,"&gt;="&amp;G29,$G$12:$G$41)/SUM($G$12:$G$41),0)</f>
        <v/>
      </c>
      <c r="P29" t="inlineStr">
        <is>
          <t>C | SKU18 | Teclado de Entrada</t>
        </is>
      </c>
      <c r="Q29" t="n">
        <v>0</v>
      </c>
      <c r="R29" t="n">
        <v>0</v>
      </c>
      <c r="S29" t="n">
        <v>4500</v>
      </c>
      <c r="T29" t="n">
        <v>0.97085</v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53">
        <f>IFERROR(SUMIF($G$12:$G$41,"&gt;="&amp;G30,$G$12:$G$41)/SUM($G$12:$G$41),0)</f>
        <v/>
      </c>
      <c r="P30" t="inlineStr">
        <is>
          <t>C | SKU19 | Filtro de Linha</t>
        </is>
      </c>
      <c r="Q30" t="n">
        <v>0</v>
      </c>
      <c r="R30" t="n">
        <v>0</v>
      </c>
      <c r="S30" t="n">
        <v>4400</v>
      </c>
      <c r="T30" t="n">
        <v>0.9750799999999999</v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53">
        <f>IFERROR(SUMIF($G$12:$G$41,"&gt;="&amp;G31,$G$12:$G$41)/SUM($G$12:$G$41),0)</f>
        <v/>
      </c>
      <c r="P31" t="inlineStr">
        <is>
          <t>C | SKU20 | Webcam Full HD</t>
        </is>
      </c>
      <c r="Q31" t="n">
        <v>0</v>
      </c>
      <c r="R31" t="n">
        <v>0</v>
      </c>
      <c r="S31" t="n">
        <v>3960</v>
      </c>
      <c r="T31" t="n">
        <v>0.97889</v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53">
        <f>IFERROR(SUMIF($G$12:$G$41,"&gt;="&amp;G32,$G$12:$G$41)/SUM($G$12:$G$41),0)</f>
        <v/>
      </c>
      <c r="P32" t="inlineStr">
        <is>
          <t>C | SKU21 | Pilhas AA (Pacote)</t>
        </is>
      </c>
      <c r="Q32" t="n">
        <v>0</v>
      </c>
      <c r="R32" t="n">
        <v>0</v>
      </c>
      <c r="S32" t="n">
        <v>3600</v>
      </c>
      <c r="T32" t="n">
        <v>0.98236</v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53">
        <f>IFERROR(SUMIF($G$12:$G$41,"&gt;="&amp;G33,$G$12:$G$41)/SUM($G$12:$G$41),0)</f>
        <v/>
      </c>
      <c r="P33" t="inlineStr">
        <is>
          <t>C | SKU22 | Adaptador USB-C</t>
        </is>
      </c>
      <c r="Q33" t="n">
        <v>0</v>
      </c>
      <c r="R33" t="n">
        <v>0</v>
      </c>
      <c r="S33" t="n">
        <v>3150</v>
      </c>
      <c r="T33" t="n">
        <v>0.98539</v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53">
        <f>IFERROR(SUMIF($G$12:$G$41,"&gt;="&amp;G34,$G$12:$G$41)/SUM($G$12:$G$41),0)</f>
        <v/>
      </c>
      <c r="P34" t="inlineStr">
        <is>
          <t>C | SKU23 | Suporte para Monitor</t>
        </is>
      </c>
      <c r="Q34" t="n">
        <v>0</v>
      </c>
      <c r="R34" t="n">
        <v>0</v>
      </c>
      <c r="S34" t="n">
        <v>2800</v>
      </c>
      <c r="T34" t="n">
        <v>0.98809</v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53">
        <f>IFERROR(SUMIF($G$12:$G$41,"&gt;="&amp;G35,$G$12:$G$41)/SUM($G$12:$G$41),0)</f>
        <v/>
      </c>
      <c r="P35" t="inlineStr">
        <is>
          <t>C | SKU24 | Cabo HDMI 2m</t>
        </is>
      </c>
      <c r="Q35" t="n">
        <v>0</v>
      </c>
      <c r="R35" t="n">
        <v>0</v>
      </c>
      <c r="S35" t="n">
        <v>2125</v>
      </c>
      <c r="T35" t="n">
        <v>0.99013</v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53">
        <f>IFERROR(SUMIF($G$12:$G$41,"&gt;="&amp;G36,$G$12:$G$41)/SUM($G$12:$G$41),0)</f>
        <v/>
      </c>
      <c r="P36" t="inlineStr">
        <is>
          <t>C | SKU25 | Mousepad Simples</t>
        </is>
      </c>
      <c r="Q36" t="n">
        <v>0</v>
      </c>
      <c r="R36" t="n">
        <v>0</v>
      </c>
      <c r="S36" t="n">
        <v>2000</v>
      </c>
      <c r="T36" t="n">
        <v>0.9920600000000001</v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53">
        <f>IFERROR(SUMIF($G$12:$G$41,"&gt;="&amp;G37,$G$12:$G$41)/SUM($G$12:$G$41),0)</f>
        <v/>
      </c>
      <c r="P37" t="inlineStr">
        <is>
          <t>C | SKU26 | Mouse Optico Simples</t>
        </is>
      </c>
      <c r="Q37" t="n">
        <v>0</v>
      </c>
      <c r="R37" t="n">
        <v>0</v>
      </c>
      <c r="S37" t="n">
        <v>1800</v>
      </c>
      <c r="T37" t="n">
        <v>0.99379</v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53">
        <f>IFERROR(SUMIF($G$12:$G$41,"&gt;="&amp;G38,$G$12:$G$41)/SUM($G$12:$G$41),0)</f>
        <v/>
      </c>
      <c r="P38" t="inlineStr">
        <is>
          <t>C | SKU27 | Organizador de Cabos</t>
        </is>
      </c>
      <c r="Q38" t="n">
        <v>0</v>
      </c>
      <c r="R38" t="n">
        <v>0</v>
      </c>
      <c r="S38" t="n">
        <v>1800</v>
      </c>
      <c r="T38" t="n">
        <v>0.99552</v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53">
        <f>IFERROR(SUMIF($G$12:$G$41,"&gt;="&amp;G39,$G$12:$G$41)/SUM($G$12:$G$41),0)</f>
        <v/>
      </c>
      <c r="P39" t="inlineStr">
        <is>
          <t>C | SKU28 | Ar comprimido (Lata)</t>
        </is>
      </c>
      <c r="Q39" t="n">
        <v>0</v>
      </c>
      <c r="R39" t="n">
        <v>0</v>
      </c>
      <c r="S39" t="n">
        <v>1575</v>
      </c>
      <c r="T39" t="n">
        <v>0.99704</v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53">
        <f>IFERROR(SUMIF($G$12:$G$41,"&gt;="&amp;G40,$G$12:$G$41)/SUM($G$12:$G$41),0)</f>
        <v/>
      </c>
      <c r="P40" t="inlineStr">
        <is>
          <t>C | SKU29 | Pasta Termica</t>
        </is>
      </c>
      <c r="Q40" t="n">
        <v>0</v>
      </c>
      <c r="R40" t="n">
        <v>0</v>
      </c>
      <c r="S40" t="n">
        <v>1575</v>
      </c>
      <c r="T40" t="n">
        <v>0.99856</v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53">
        <f>IFERROR(SUMIF($G$12:$G$41,"&gt;="&amp;G41,$G$12:$G$41)/SUM($G$12:$G$41),0)</f>
        <v/>
      </c>
      <c r="P41" t="inlineStr">
        <is>
          <t>C | SKU30 | Conector RJ45 (Cento</t>
        </is>
      </c>
      <c r="Q41" t="n">
        <v>0</v>
      </c>
      <c r="R41" t="n">
        <v>0</v>
      </c>
      <c r="S41" t="n">
        <v>1500</v>
      </c>
      <c r="T41" t="n">
        <v>1</v>
      </c>
    </row>
    <row r="42" ht="24" customHeight="1">
      <c r="A42" s="54" t="inlineStr">
        <is>
          <t>TOTAL GERAL</t>
        </is>
      </c>
      <c r="B42" s="55" t="n"/>
      <c r="C42" s="55" t="n"/>
      <c r="D42" s="55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H6" s="61" t="n"/>
      <c r="I6" s="63" t="inlineStr">
        <is>
          <t>FEVEREIRO 2026</t>
        </is>
      </c>
      <c r="P6" s="61" t="n"/>
      <c r="Q6" s="63" t="inlineStr">
        <is>
          <t>MARCO 2026</t>
        </is>
      </c>
      <c r="X6" s="61" t="n"/>
      <c r="Y6" s="64" t="inlineStr">
        <is>
          <t>ABRIL 2026</t>
        </is>
      </c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H17" s="61" t="n"/>
      <c r="I17" s="64" t="inlineStr">
        <is>
          <t>JUNHO 2026</t>
        </is>
      </c>
      <c r="P17" s="61" t="n"/>
      <c r="Q17" s="72" t="inlineStr">
        <is>
          <t>JULHO 2026</t>
        </is>
      </c>
      <c r="X17" s="61" t="n"/>
      <c r="Y17" s="72" t="inlineStr">
        <is>
          <t>AGOSTO 2026</t>
        </is>
      </c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H28" s="61" t="n"/>
      <c r="I28" s="63" t="inlineStr">
        <is>
          <t>OUTUBRO 2026</t>
        </is>
      </c>
      <c r="P28" s="61" t="n"/>
      <c r="Q28" s="64" t="inlineStr">
        <is>
          <t>NOVEMBRO 2026</t>
        </is>
      </c>
      <c r="X28" s="61" t="n"/>
      <c r="Y28" s="72" t="inlineStr">
        <is>
          <t>DEZEMBRO 2026</t>
        </is>
      </c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A39:AF39"/>
    <mergeCell ref="I17:O17"/>
    <mergeCell ref="A6:G6"/>
    <mergeCell ref="Y17:AE17"/>
    <mergeCell ref="Q28:W28"/>
    <mergeCell ref="A4:AF4"/>
    <mergeCell ref="I6:O6"/>
    <mergeCell ref="Q17:W17"/>
    <mergeCell ref="A28:G28"/>
    <mergeCell ref="Y6:AE6"/>
    <mergeCell ref="Q6:W6"/>
    <mergeCell ref="A2:AF2"/>
    <mergeCell ref="I28:O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2026-05-14T10:03:17Z</dcterms:created>
  <dcterms:modified xsi:type="dcterms:W3CDTF">2026-05-14T10:03:17Z</dcterms:modified>
</cp:coreProperties>
</file>