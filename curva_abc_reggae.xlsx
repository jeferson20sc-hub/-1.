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rimeira" sheetId="2" state="visible" r:id="rId2"/>
    <sheet name="01" sheetId="3" state="visible" r:id="rId3"/>
    <sheet name="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6">
    <font>
      <name val="Calibri"/>
      <family val="2"/>
      <color theme="1"/>
      <sz val="11"/>
      <scheme val="minor"/>
    </font>
    <font>
      <name val="Calibri"/>
      <b val="1"/>
      <color rgb="00009B3A"/>
      <sz val="30"/>
    </font>
    <font>
      <name val="Calibri"/>
      <i val="1"/>
      <color rgb="00FFD700"/>
      <sz val="13"/>
    </font>
    <font>
      <name val="Calibri"/>
      <b val="1"/>
      <color rgb="00FFFFFF"/>
      <sz val="12"/>
    </font>
    <font>
      <name val="Calibri"/>
      <color rgb="00FFFFFF"/>
      <sz val="10"/>
    </font>
    <font>
      <name val="Calibri"/>
      <color rgb="00FFF5B0"/>
      <sz val="10"/>
    </font>
    <font>
      <name val="Calibri"/>
      <b val="1"/>
      <color rgb="00009B3A"/>
      <sz val="9"/>
    </font>
    <font>
      <name val="Calibri"/>
      <b val="1"/>
      <color rgb="00009B3A"/>
      <sz val="22"/>
    </font>
    <font>
      <name val="Calibri"/>
      <color rgb="00FFD700"/>
      <sz val="10"/>
    </font>
    <font>
      <name val="Calibri"/>
      <b val="1"/>
      <color rgb="00FFFFFF"/>
      <sz val="14"/>
    </font>
    <font>
      <name val="Calibri"/>
      <b val="1"/>
      <color rgb="00FFD700"/>
      <sz val="9"/>
    </font>
    <font>
      <name val="Calibri"/>
      <b val="1"/>
      <color rgb="00FFD0D0"/>
      <sz val="9"/>
    </font>
    <font>
      <name val="Calibri"/>
      <i val="1"/>
      <color rgb="00FFF5B0"/>
      <sz val="8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FFFFFF"/>
      <sz val="8"/>
    </font>
    <font>
      <name val="Calibri"/>
      <b val="1"/>
      <color rgb="00000000"/>
      <sz val="11"/>
    </font>
    <font>
      <name val="Calibri"/>
      <b val="1"/>
      <color rgb="00000000"/>
      <sz val="8"/>
    </font>
    <font>
      <name val="Calibri"/>
      <b val="1"/>
      <color rgb="00009B3A"/>
      <sz val="10"/>
    </font>
    <font>
      <name val="Calibri"/>
      <b val="1"/>
      <color rgb="00FFFFFF"/>
      <sz val="10"/>
    </font>
    <font>
      <name val="Calibri"/>
      <b val="1"/>
      <color rgb="00FFD700"/>
      <sz val="10"/>
    </font>
    <font>
      <name val="Calibri"/>
      <b val="1"/>
      <color rgb="00B0B0B0"/>
      <sz val="8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B0B0B0"/>
      <sz val="8"/>
    </font>
    <font>
      <name val="Calibri"/>
      <b val="1"/>
      <color rgb="00FFD700"/>
      <sz val="11"/>
    </font>
  </fonts>
  <fills count="1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/>
    </fill>
    <fill>
      <patternFill patternType="solid">
        <fgColor rgb="00C8A400"/>
      </patternFill>
    </fill>
    <fill>
      <patternFill patternType="solid">
        <fgColor rgb="00990000"/>
      </patternFill>
    </fill>
    <fill>
      <patternFill patternType="solid">
        <fgColor rgb="00006B28"/>
      </patternFill>
    </fill>
    <fill>
      <patternFill patternType="solid">
        <fgColor rgb="00C8F5DB"/>
      </patternFill>
    </fill>
    <fill>
      <patternFill patternType="solid">
        <fgColor rgb="00FFFFFF"/>
      </patternFill>
    </fill>
    <fill>
      <patternFill patternType="solid">
        <fgColor rgb="00FFF5B0"/>
      </patternFill>
    </fill>
    <fill>
      <patternFill patternType="solid">
        <fgColor rgb="00FFD0D0"/>
      </patternFill>
    </fill>
  </fills>
  <borders count="1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C8A400"/>
      </left>
      <right style="thin">
        <color rgb="00C8A400"/>
      </right>
      <top style="thin">
        <color rgb="00C8A400"/>
      </top>
      <bottom style="thin">
        <color rgb="00C8A400"/>
      </bottom>
    </border>
    <border>
      <left style="thin">
        <color rgb="00990000"/>
      </left>
      <right style="thin">
        <color rgb="00990000"/>
      </right>
      <top style="thin">
        <color rgb="00990000"/>
      </top>
      <bottom style="thin">
        <color rgb="0099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medium">
        <color rgb="00006B28"/>
      </left>
      <right style="medium">
        <color rgb="00006B28"/>
      </right>
      <top style="thin">
        <color rgb="00B0B0B0"/>
      </top>
      <bottom style="thin">
        <color rgb="00B0B0B0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2" borderId="3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4" fillId="2" borderId="5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0" fillId="0" borderId="7" pivotButton="0" quotePrefix="0" xfId="0"/>
    <xf numFmtId="0" fontId="6" fillId="2" borderId="7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0" fillId="0" borderId="8" pivotButton="0" quotePrefix="0" xfId="0"/>
    <xf numFmtId="164" fontId="9" fillId="9" borderId="9" applyAlignment="1" pivotButton="0" quotePrefix="0" xfId="0">
      <alignment horizontal="center" vertical="center"/>
    </xf>
    <xf numFmtId="0" fontId="0" fillId="0" borderId="2" pivotButton="0" quotePrefix="0" xfId="0"/>
    <xf numFmtId="164" fontId="9" fillId="3" borderId="2" applyAlignment="1" pivotButton="0" quotePrefix="0" xfId="0">
      <alignment horizontal="center" vertical="center"/>
    </xf>
    <xf numFmtId="165" fontId="9" fillId="7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0" fontId="0" fillId="0" borderId="10" pivotButton="0" quotePrefix="0" xfId="0"/>
    <xf numFmtId="0" fontId="6" fillId="2" borderId="9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164" fontId="9" fillId="9" borderId="11" applyAlignment="1" pivotButton="0" quotePrefix="0" xfId="0">
      <alignment horizontal="center" vertical="center"/>
    </xf>
    <xf numFmtId="0" fontId="0" fillId="0" borderId="12" pivotButton="0" quotePrefix="0" xfId="0"/>
    <xf numFmtId="0" fontId="9" fillId="3" borderId="12" applyAlignment="1" pivotButton="0" quotePrefix="0" xfId="0">
      <alignment horizontal="center" vertical="center"/>
    </xf>
    <xf numFmtId="9" fontId="9" fillId="7" borderId="12" applyAlignment="1" pivotButton="0" quotePrefix="0" xfId="0">
      <alignment horizontal="center" vertical="center"/>
    </xf>
    <xf numFmtId="9" fontId="9" fillId="8" borderId="12" applyAlignment="1" pivotButton="0" quotePrefix="0" xfId="0">
      <alignment horizontal="center" vertical="center"/>
    </xf>
    <xf numFmtId="0" fontId="0" fillId="0" borderId="13" pivotButton="0" quotePrefix="0" xfId="0"/>
    <xf numFmtId="0" fontId="12" fillId="9" borderId="0" applyAlignment="1" pivotButton="0" quotePrefix="0" xfId="0">
      <alignment horizontal="left" vertical="center"/>
    </xf>
    <xf numFmtId="0" fontId="13" fillId="6" borderId="14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166" fontId="14" fillId="3" borderId="1" applyAlignment="1" pivotButton="0" quotePrefix="0" xfId="0">
      <alignment horizontal="center" vertical="center"/>
    </xf>
    <xf numFmtId="165" fontId="14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166" fontId="16" fillId="7" borderId="1" applyAlignment="1" pivotButton="0" quotePrefix="0" xfId="0">
      <alignment horizontal="center" vertical="center"/>
    </xf>
    <xf numFmtId="165" fontId="16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left" vertical="center"/>
    </xf>
    <xf numFmtId="0" fontId="22" fillId="10" borderId="14" applyAlignment="1" pivotButton="0" quotePrefix="0" xfId="0">
      <alignment horizontal="left" vertical="center"/>
    </xf>
    <xf numFmtId="0" fontId="22" fillId="10" borderId="14" applyAlignment="1" pivotButton="0" quotePrefix="0" xfId="0">
      <alignment horizontal="center" vertical="center"/>
    </xf>
    <xf numFmtId="3" fontId="23" fillId="11" borderId="15" applyAlignment="1" applyProtection="1" pivotButton="0" quotePrefix="0" xfId="0">
      <alignment horizontal="center" vertical="center"/>
      <protection locked="0" hidden="0"/>
    </xf>
    <xf numFmtId="164" fontId="23" fillId="11" borderId="15" applyAlignment="1" applyProtection="1" pivotButton="0" quotePrefix="0" xfId="0">
      <alignment horizontal="right" vertical="center"/>
      <protection locked="0" hidden="0"/>
    </xf>
    <xf numFmtId="164" fontId="23" fillId="10" borderId="14" applyAlignment="1" pivotButton="0" quotePrefix="0" xfId="0">
      <alignment horizontal="right" vertical="center"/>
    </xf>
    <xf numFmtId="10" fontId="22" fillId="10" borderId="14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166" fontId="14" fillId="8" borderId="1" applyAlignment="1" pivotButton="0" quotePrefix="0" xfId="0">
      <alignment horizontal="center" vertical="center"/>
    </xf>
    <xf numFmtId="165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3" fontId="24" fillId="2" borderId="0" pivotButton="0" quotePrefix="0" xfId="0"/>
    <xf numFmtId="165" fontId="24" fillId="2" borderId="0" pivotButton="0" quotePrefix="0" xfId="0"/>
    <xf numFmtId="3" fontId="24" fillId="9" borderId="0" pivotButton="0" quotePrefix="0" xfId="0"/>
    <xf numFmtId="3" fontId="24" fillId="7" borderId="0" pivotButton="0" quotePrefix="0" xfId="0"/>
    <xf numFmtId="3" fontId="24" fillId="8" borderId="0" pivotButton="0" quotePrefix="0" xfId="0"/>
    <xf numFmtId="0" fontId="14" fillId="7" borderId="1" applyAlignment="1" pivotButton="0" quotePrefix="0" xfId="0">
      <alignment horizontal="center" vertical="center"/>
    </xf>
    <xf numFmtId="0" fontId="22" fillId="12" borderId="14" applyAlignment="1" pivotButton="0" quotePrefix="0" xfId="0">
      <alignment horizontal="left" vertical="center"/>
    </xf>
    <xf numFmtId="0" fontId="22" fillId="12" borderId="14" applyAlignment="1" pivotButton="0" quotePrefix="0" xfId="0">
      <alignment horizontal="center" vertical="center"/>
    </xf>
    <xf numFmtId="164" fontId="23" fillId="12" borderId="14" applyAlignment="1" pivotButton="0" quotePrefix="0" xfId="0">
      <alignment horizontal="right" vertical="center"/>
    </xf>
    <xf numFmtId="10" fontId="22" fillId="12" borderId="14" applyAlignment="1" pivotButton="0" quotePrefix="0" xfId="0">
      <alignment horizontal="center" vertical="center"/>
    </xf>
    <xf numFmtId="0" fontId="22" fillId="13" borderId="14" applyAlignment="1" pivotButton="0" quotePrefix="0" xfId="0">
      <alignment horizontal="left" vertical="center"/>
    </xf>
    <xf numFmtId="0" fontId="22" fillId="13" borderId="14" applyAlignment="1" pivotButton="0" quotePrefix="0" xfId="0">
      <alignment horizontal="center" vertical="center"/>
    </xf>
    <xf numFmtId="164" fontId="23" fillId="13" borderId="14" applyAlignment="1" pivotButton="0" quotePrefix="0" xfId="0">
      <alignment horizontal="right" vertical="center"/>
    </xf>
    <xf numFmtId="10" fontId="22" fillId="13" borderId="14" applyAlignment="1" pivotButton="0" quotePrefix="0" xfId="0">
      <alignment horizontal="center" vertical="center"/>
    </xf>
    <xf numFmtId="0" fontId="25" fillId="6" borderId="16" applyAlignment="1" pivotButton="0" quotePrefix="0" xfId="0">
      <alignment horizontal="center" vertical="center"/>
    </xf>
    <xf numFmtId="0" fontId="0" fillId="0" borderId="16" pivotButton="0" quotePrefix="0" xfId="0"/>
    <xf numFmtId="3" fontId="14" fillId="6" borderId="16" applyAlignment="1" pivotButton="0" quotePrefix="0" xfId="0">
      <alignment horizontal="center" vertical="center"/>
    </xf>
    <xf numFmtId="0" fontId="0" fillId="6" borderId="16" pivotButton="0" quotePrefix="0" xfId="0"/>
    <xf numFmtId="164" fontId="14" fillId="3" borderId="16" applyAlignment="1" pivotButton="0" quotePrefix="0" xfId="0">
      <alignment horizontal="right" vertical="center"/>
    </xf>
    <xf numFmtId="9" fontId="14" fillId="6" borderId="16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color rgb="00000000"/>
      </font>
      <fill>
        <patternFill patternType="solid">
          <fgColor rgb="00C8F5DB"/>
        </patternFill>
      </fill>
    </dxf>
    <dxf>
      <font>
        <color rgb="00000000"/>
      </font>
      <fill>
        <patternFill patternType="solid">
          <fgColor rgb="00FFF5B0"/>
        </patternFill>
      </fill>
    </dxf>
    <dxf>
      <font>
        <color rgb="00000000"/>
      </font>
      <fill>
        <patternFill patternType="solid">
          <fgColor rgb="00FF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Valor Total por Item  (Primeira)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>
              <a:solidFill>
                <a:srgbClr val="006B28"/>
              </a:solidFill>
              <a:prstDash val="solid"/>
            </a:ln>
          </spPr>
          <cat>
            <numRef>
              <f>'Primeira'!$P$10:$P$19</f>
            </numRef>
          </cat>
          <val>
            <numRef>
              <f>'Primeira'!$S$10:$S$19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>
              <a:solidFill>
                <a:srgbClr val="C8A400"/>
              </a:solidFill>
              <a:prstDash val="solid"/>
            </a:ln>
          </spPr>
          <cat>
            <numRef>
              <f>'Primeira'!$P$10:$P$19</f>
            </numRef>
          </cat>
          <val>
            <numRef>
              <f>'Primeira'!$T$10:$T$19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>
              <a:solidFill>
                <a:srgbClr val="990000"/>
              </a:solidFill>
              <a:prstDash val="solid"/>
            </a:ln>
          </spPr>
          <cat>
            <numRef>
              <f>'Primeira'!$P$10:$P$19</f>
            </numRef>
          </cat>
          <val>
            <numRef>
              <f>'Primeira'!$U$10:$U$19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 decrescente)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de Pareto — % Acumulado  (Primeira)</a:t>
            </a:r>
          </a:p>
        </rich>
      </tx>
    </title>
    <plotArea>
      <lineChart>
        <grouping val="standard"/>
        <ser>
          <idx val="0"/>
          <order val="0"/>
          <tx>
            <v>% Acumulado</v>
          </tx>
          <spPr>
            <a:ln w="28000">
              <a:solidFill>
                <a:srgbClr val="009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'Primeira'!$P$10:$P$19</f>
            </numRef>
          </cat>
          <val>
            <numRef>
              <f>'Primeira'!$R$10:$R$19</f>
            </numRef>
          </val>
          <smooth val="1"/>
        </ser>
        <ser>
          <idx val="1"/>
          <order val="1"/>
          <tx>
            <v>Limite A (80%)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'Primeira'!$P$10:$P$19</f>
            </numRef>
          </cat>
          <val>
            <numRef>
              <f>'Primeira'!$Q$9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Valor Total por Item  (01)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>
              <a:solidFill>
                <a:srgbClr val="006B28"/>
              </a:solidFill>
              <a:prstDash val="solid"/>
            </a:ln>
          </spPr>
          <cat>
            <numRef>
              <f>'01'!$P$10:$P$29</f>
            </numRef>
          </cat>
          <val>
            <numRef>
              <f>'01'!$S$10:$S$29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>
              <a:solidFill>
                <a:srgbClr val="C8A400"/>
              </a:solidFill>
              <a:prstDash val="solid"/>
            </a:ln>
          </spPr>
          <cat>
            <numRef>
              <f>'01'!$P$10:$P$29</f>
            </numRef>
          </cat>
          <val>
            <numRef>
              <f>'01'!$T$10:$T$29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>
              <a:solidFill>
                <a:srgbClr val="990000"/>
              </a:solidFill>
              <a:prstDash val="solid"/>
            </a:ln>
          </spPr>
          <cat>
            <numRef>
              <f>'01'!$P$10:$P$29</f>
            </numRef>
          </cat>
          <val>
            <numRef>
              <f>'01'!$U$10:$U$29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 decrescente)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de Pareto — % Acumulado  (01)</a:t>
            </a:r>
          </a:p>
        </rich>
      </tx>
    </title>
    <plotArea>
      <lineChart>
        <grouping val="standard"/>
        <ser>
          <idx val="0"/>
          <order val="0"/>
          <tx>
            <v>% Acumulado</v>
          </tx>
          <spPr>
            <a:ln w="28000">
              <a:solidFill>
                <a:srgbClr val="009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'01'!$P$10:$P$29</f>
            </numRef>
          </cat>
          <val>
            <numRef>
              <f>'01'!$R$10:$R$29</f>
            </numRef>
          </val>
          <smooth val="1"/>
        </ser>
        <ser>
          <idx val="1"/>
          <order val="1"/>
          <tx>
            <v>Limite A (80%)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'01'!$P$10:$P$29</f>
            </numRef>
          </cat>
          <val>
            <numRef>
              <f>'01'!$Q$9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Valor Total por Item  (02)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>
              <a:solidFill>
                <a:srgbClr val="006B28"/>
              </a:solidFill>
              <a:prstDash val="solid"/>
            </a:ln>
          </spPr>
          <cat>
            <numRef>
              <f>'02'!$P$10:$P$39</f>
            </numRef>
          </cat>
          <val>
            <numRef>
              <f>'02'!$S$10:$S$39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>
              <a:solidFill>
                <a:srgbClr val="C8A400"/>
              </a:solidFill>
              <a:prstDash val="solid"/>
            </a:ln>
          </spPr>
          <cat>
            <numRef>
              <f>'02'!$P$10:$P$39</f>
            </numRef>
          </cat>
          <val>
            <numRef>
              <f>'02'!$T$10:$T$39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>
              <a:solidFill>
                <a:srgbClr val="990000"/>
              </a:solidFill>
              <a:prstDash val="solid"/>
            </a:ln>
          </spPr>
          <cat>
            <numRef>
              <f>'02'!$P$10:$P$39</f>
            </numRef>
          </cat>
          <val>
            <numRef>
              <f>'02'!$U$10:$U$39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 decrescente)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de Pareto — % Acumulado  (02)</a:t>
            </a:r>
          </a:p>
        </rich>
      </tx>
    </title>
    <plotArea>
      <lineChart>
        <grouping val="standard"/>
        <ser>
          <idx val="0"/>
          <order val="0"/>
          <tx>
            <v>% Acumulado</v>
          </tx>
          <spPr>
            <a:ln w="28000">
              <a:solidFill>
                <a:srgbClr val="009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'02'!$P$10:$P$39</f>
            </numRef>
          </cat>
          <val>
            <numRef>
              <f>'02'!$R$10:$R$39</f>
            </numRef>
          </val>
          <smooth val="1"/>
        </ser>
        <ser>
          <idx val="1"/>
          <order val="1"/>
          <tx>
            <v>Limite A (80%)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'02'!$P$10:$P$39</f>
            </numRef>
          </cat>
          <val>
            <numRef>
              <f>'02'!$Q$9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28" customWidth="1" min="3" max="3"/>
    <col width="28" customWidth="1" min="4" max="4"/>
    <col width="28" customWidth="1" min="5" max="5"/>
    <col width="3" customWidth="1" min="6" max="6"/>
  </cols>
  <sheetData>
    <row r="1" ht="20" customHeight="1">
      <c r="A1" s="1" t="n"/>
      <c r="B1" s="2" t="n"/>
      <c r="C1" s="3" t="n"/>
      <c r="D1" s="4" t="n"/>
      <c r="E1" s="5" t="n"/>
      <c r="F1" s="1" t="n"/>
    </row>
    <row r="2" ht="64" customHeight="1">
      <c r="A2" s="1" t="n"/>
      <c r="B2" s="6" t="inlineStr">
        <is>
          <t>CURVA ABC REGGAE</t>
        </is>
      </c>
      <c r="F2" s="1" t="n"/>
    </row>
    <row r="3" ht="28" customHeight="1">
      <c r="A3" s="1" t="n"/>
      <c r="B3" s="7" t="inlineStr">
        <is>
          <t>Dashboard Profissional de Analise de Estoque</t>
        </is>
      </c>
      <c r="F3" s="1" t="n"/>
    </row>
    <row r="4" ht="20" customHeight="1">
      <c r="A4" s="1" t="n"/>
      <c r="B4" s="2" t="n"/>
      <c r="C4" s="3" t="n"/>
      <c r="D4" s="4" t="n"/>
      <c r="E4" s="2" t="n"/>
      <c r="F4" s="1" t="n"/>
    </row>
    <row r="5" ht="20" customHeight="1">
      <c r="A5" s="1" t="n"/>
      <c r="B5" s="1" t="n"/>
      <c r="C5" s="1" t="n"/>
      <c r="D5" s="1" t="n"/>
      <c r="E5" s="1" t="n"/>
      <c r="F5" s="1" t="n"/>
    </row>
    <row r="6" ht="20" customHeight="1">
      <c r="A6" s="1" t="n"/>
      <c r="B6" s="8" t="inlineStr">
        <is>
          <t>Classificacao ABC</t>
        </is>
      </c>
      <c r="F6" s="1" t="n"/>
    </row>
    <row r="7" ht="20" customHeight="1">
      <c r="A7" s="1" t="n"/>
      <c r="B7" s="9" t="inlineStr">
        <is>
          <t>A = ate 80% do valor total</t>
        </is>
      </c>
      <c r="F7" s="1" t="n"/>
    </row>
    <row r="8" ht="20" customHeight="1">
      <c r="A8" s="1" t="n"/>
      <c r="B8" s="9" t="inlineStr">
        <is>
          <t>B = 80% a 95% do valor</t>
        </is>
      </c>
      <c r="F8" s="1" t="n"/>
    </row>
    <row r="9" ht="20" customHeight="1">
      <c r="A9" s="1" t="n"/>
      <c r="B9" s="9" t="inlineStr">
        <is>
          <t>C = 95% a 100% do valor</t>
        </is>
      </c>
      <c r="F9" s="1" t="n"/>
    </row>
    <row r="10" ht="20" customHeight="1">
      <c r="A10" s="1" t="n"/>
      <c r="B10" s="1" t="n"/>
      <c r="C10" s="1" t="n"/>
      <c r="D10" s="1" t="n"/>
      <c r="E10" s="1" t="n"/>
      <c r="F10" s="1" t="n"/>
    </row>
    <row r="11" ht="20" customHeight="1">
      <c r="A11" s="1" t="n"/>
      <c r="B11" s="10" t="inlineStr">
        <is>
          <t>Abas Disponiveis</t>
        </is>
      </c>
      <c r="F11" s="1" t="n"/>
    </row>
    <row r="12" ht="20" customHeight="1">
      <c r="A12" s="1" t="n"/>
      <c r="B12" s="11" t="inlineStr">
        <is>
          <t>Primeira: 10 itens</t>
        </is>
      </c>
      <c r="F12" s="1" t="n"/>
    </row>
    <row r="13" ht="20" customHeight="1">
      <c r="A13" s="1" t="n"/>
      <c r="B13" s="11" t="inlineStr">
        <is>
          <t>Aba 01: 20 itens</t>
        </is>
      </c>
      <c r="F13" s="1" t="n"/>
    </row>
    <row r="14" ht="20" customHeight="1">
      <c r="A14" s="1" t="n"/>
      <c r="B14" s="11" t="inlineStr">
        <is>
          <t>Aba 02: 30 itens</t>
        </is>
      </c>
      <c r="F14" s="1" t="n"/>
    </row>
    <row r="15" ht="20" customHeight="1">
      <c r="A15" s="1" t="n"/>
      <c r="B15" s="1" t="n"/>
      <c r="C15" s="1" t="n"/>
      <c r="D15" s="1" t="n"/>
      <c r="E15" s="1" t="n"/>
      <c r="F15" s="1" t="n"/>
    </row>
    <row r="16" ht="20" customHeight="1">
      <c r="A16" s="1" t="n"/>
      <c r="B16" s="12" t="inlineStr">
        <is>
          <t>Como Usar</t>
        </is>
      </c>
      <c r="F16" s="1" t="n"/>
    </row>
    <row r="17" ht="20" customHeight="1">
      <c r="A17" s="1" t="n"/>
      <c r="B17" s="13" t="inlineStr">
        <is>
          <t>1. Va para a aba desejada</t>
        </is>
      </c>
      <c r="F17" s="1" t="n"/>
    </row>
    <row r="18" ht="20" customHeight="1">
      <c r="A18" s="1" t="n"/>
      <c r="B18" s="13" t="inlineStr">
        <is>
          <t>2. Edite Quant. e Custo Unit.</t>
        </is>
      </c>
      <c r="F18" s="1" t="n"/>
    </row>
    <row r="19" ht="20" customHeight="1">
      <c r="A19" s="1" t="n"/>
      <c r="B19" s="13" t="inlineStr">
        <is>
          <t>3. ABC recalcula automaticamente</t>
        </is>
      </c>
      <c r="F19" s="1" t="n"/>
    </row>
    <row r="20" ht="20" customHeight="1">
      <c r="A20" s="1" t="n"/>
      <c r="B20" s="1" t="n"/>
      <c r="C20" s="1" t="n"/>
      <c r="D20" s="1" t="n"/>
      <c r="E20" s="1" t="n"/>
      <c r="F20" s="1" t="n"/>
    </row>
    <row r="21" ht="20" customHeight="1">
      <c r="A21" s="1" t="n"/>
      <c r="B21" s="14" t="inlineStr">
        <is>
          <t>Protecao da Planilha</t>
        </is>
      </c>
      <c r="F21" s="1" t="n"/>
    </row>
    <row r="22" ht="20" customHeight="1">
      <c r="A22" s="1" t="n"/>
      <c r="B22" s="15" t="inlineStr">
        <is>
          <t>Senha: abc2026.</t>
        </is>
      </c>
      <c r="F22" s="1" t="n"/>
    </row>
    <row r="23" ht="20" customHeight="1">
      <c r="A23" s="1" t="n"/>
      <c r="B23" s="15" t="inlineStr">
        <is>
          <t>Colunas D e E liberadas para edicao</t>
        </is>
      </c>
      <c r="F23" s="1" t="n"/>
    </row>
    <row r="24" ht="20" customHeight="1">
      <c r="A24" s="1" t="n"/>
      <c r="B24" s="15" t="inlineStr">
        <is>
          <t>Demais celulas protegidas</t>
        </is>
      </c>
      <c r="F24" s="1" t="n"/>
    </row>
    <row r="25" ht="20" customHeight="1">
      <c r="A25" s="1" t="n"/>
      <c r="B25" s="1" t="n"/>
      <c r="C25" s="1" t="n"/>
      <c r="D25" s="1" t="n"/>
      <c r="E25" s="1" t="n"/>
      <c r="F25" s="1" t="n"/>
    </row>
    <row r="26" ht="20" customHeight="1">
      <c r="A26" s="1" t="n"/>
      <c r="B26" s="1" t="n"/>
      <c r="C26" s="1" t="n"/>
      <c r="D26" s="1" t="n"/>
      <c r="E26" s="1" t="n"/>
      <c r="F26" s="1" t="n"/>
    </row>
    <row r="27" ht="20" customHeight="1">
      <c r="A27" s="1" t="n"/>
      <c r="B27" s="1" t="n"/>
      <c r="C27" s="1" t="n"/>
      <c r="D27" s="1" t="n"/>
      <c r="E27" s="1" t="n"/>
      <c r="F27" s="1" t="n"/>
    </row>
    <row r="28" ht="20" customHeight="1">
      <c r="A28" s="1" t="n"/>
      <c r="B28" s="1" t="n"/>
      <c r="C28" s="1" t="n"/>
      <c r="D28" s="1" t="n"/>
      <c r="E28" s="1" t="n"/>
      <c r="F28" s="1" t="n"/>
    </row>
    <row r="29" ht="20" customHeight="1">
      <c r="A29" s="1" t="n"/>
      <c r="B29" s="1" t="n"/>
      <c r="C29" s="1" t="n"/>
      <c r="D29" s="1" t="n"/>
      <c r="E29" s="1" t="n"/>
      <c r="F29" s="1" t="n"/>
    </row>
    <row r="30" ht="20" customHeight="1">
      <c r="A30" s="1" t="n"/>
      <c r="B30" s="1" t="n"/>
      <c r="C30" s="1" t="n"/>
      <c r="D30" s="1" t="n"/>
      <c r="E30" s="1" t="n"/>
      <c r="F30" s="1" t="n"/>
    </row>
    <row r="31" ht="20" customHeight="1">
      <c r="A31" s="1" t="n"/>
      <c r="B31" s="1" t="n"/>
      <c r="C31" s="1" t="n"/>
      <c r="D31" s="1" t="n"/>
      <c r="E31" s="1" t="n"/>
      <c r="F31" s="1" t="n"/>
    </row>
    <row r="32" ht="20" customHeight="1">
      <c r="A32" s="1" t="n"/>
      <c r="B32" s="1" t="n"/>
      <c r="C32" s="1" t="n"/>
      <c r="D32" s="1" t="n"/>
      <c r="E32" s="1" t="n"/>
      <c r="F32" s="1" t="n"/>
    </row>
    <row r="33" ht="20" customHeight="1">
      <c r="A33" s="1" t="n"/>
      <c r="B33" s="1" t="n"/>
      <c r="C33" s="1" t="n"/>
      <c r="D33" s="1" t="n"/>
      <c r="E33" s="1" t="n"/>
      <c r="F33" s="1" t="n"/>
    </row>
    <row r="34" ht="20" customHeight="1">
      <c r="A34" s="1" t="n"/>
      <c r="B34" s="1" t="n"/>
      <c r="C34" s="1" t="n"/>
      <c r="D34" s="1" t="n"/>
      <c r="E34" s="1" t="n"/>
      <c r="F34" s="1" t="n"/>
    </row>
    <row r="35" ht="20" customHeight="1">
      <c r="A35" s="1" t="n"/>
      <c r="B35" s="1" t="n"/>
      <c r="C35" s="1" t="n"/>
      <c r="D35" s="1" t="n"/>
      <c r="E35" s="1" t="n"/>
      <c r="F35" s="1" t="n"/>
    </row>
    <row r="36" ht="20" customHeight="1">
      <c r="A36" s="1" t="n"/>
      <c r="B36" s="16" t="inlineStr">
        <is>
          <t>One Love, One Data  |  CURVA ABC REGGAE  |  2026</t>
        </is>
      </c>
      <c r="F36" s="1" t="n"/>
    </row>
    <row r="37" ht="20" customHeight="1">
      <c r="A37" s="1" t="n"/>
      <c r="B37" s="1" t="n"/>
      <c r="C37" s="1" t="n"/>
      <c r="D37" s="1" t="n"/>
      <c r="E37" s="1" t="n"/>
      <c r="F37" s="1" t="n"/>
    </row>
    <row r="38" ht="20" customHeight="1">
      <c r="A38" s="1" t="n"/>
      <c r="B38" s="1" t="n"/>
      <c r="C38" s="1" t="n"/>
      <c r="D38" s="1" t="n"/>
      <c r="E38" s="1" t="n"/>
      <c r="F38" s="1" t="n"/>
    </row>
    <row r="39" ht="20" customHeight="1">
      <c r="A39" s="1" t="n"/>
      <c r="B39" s="1" t="n"/>
      <c r="C39" s="1" t="n"/>
      <c r="D39" s="1" t="n"/>
      <c r="E39" s="1" t="n"/>
      <c r="F39" s="1" t="n"/>
    </row>
  </sheetData>
  <mergeCells count="20">
    <mergeCell ref="B9:E9"/>
    <mergeCell ref="B6:E6"/>
    <mergeCell ref="B24:E24"/>
    <mergeCell ref="B36:E36"/>
    <mergeCell ref="B4:E4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23:E23"/>
    <mergeCell ref="B8:E8"/>
    <mergeCell ref="B13:E13"/>
    <mergeCell ref="B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B3A"/>
    <outlinePr summaryBelow="1" summaryRight="1"/>
    <pageSetUpPr/>
  </sheetPr>
  <dimension ref="A1:U5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0" customWidth="1" min="3" max="3"/>
    <col width="10" customWidth="1" min="4" max="4"/>
    <col width="14" customWidth="1" min="5" max="5"/>
    <col width="16" customWidth="1" min="6" max="6"/>
    <col width="13" customWidth="1" min="7" max="7"/>
    <col width="13" customWidth="1" min="8" max="8"/>
    <col width="2" customWidth="1" min="9" max="9"/>
    <col width="10" customWidth="1" min="10" max="10"/>
    <col width="16" customWidth="1" min="11" max="11"/>
    <col width="10" customWidth="1" min="12" max="12"/>
    <col width="10" customWidth="1" min="13" max="13"/>
    <col width="22" customWidth="1" min="14" max="14"/>
    <col width="30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7" t="inlineStr">
        <is>
          <t>CURVA ABC — PRIMEIRA</t>
        </is>
      </c>
      <c r="I1" s="5" t="n"/>
      <c r="J1" s="18" t="inlineStr">
        <is>
          <t>A = ate 80%   |   B = 80–95%   |   C = 95–100%</t>
        </is>
      </c>
    </row>
    <row r="2" ht="26" customHeight="1">
      <c r="A2" s="19" t="inlineStr">
        <is>
          <t>V.T. TOTAL</t>
        </is>
      </c>
      <c r="B2" s="20" t="n"/>
      <c r="C2" s="21" t="inlineStr">
        <is>
          <t>V.T. CLASSE A</t>
        </is>
      </c>
      <c r="D2" s="20" t="n"/>
      <c r="E2" s="22" t="inlineStr">
        <is>
          <t>% ITENS A</t>
        </is>
      </c>
      <c r="F2" s="20" t="n"/>
      <c r="G2" s="23" t="inlineStr">
        <is>
          <t>MAIOR V.T.</t>
        </is>
      </c>
      <c r="H2" s="24" t="n"/>
    </row>
    <row r="3" ht="26" customHeight="1">
      <c r="A3" s="25">
        <f>SUM($F$10:$F$19)</f>
        <v/>
      </c>
      <c r="B3" s="26" t="n"/>
      <c r="C3" s="27">
        <f>SUMIF($A$10:$A$19,"A",$F$10:$F$19)</f>
        <v/>
      </c>
      <c r="D3" s="26" t="n"/>
      <c r="E3" s="28">
        <f>IFERROR(COUNTIF($A$10:$A$19,"A")/COUNTA($B$10:$B$19),0)</f>
        <v/>
      </c>
      <c r="F3" s="26" t="n"/>
      <c r="G3" s="29">
        <f>MAX($F$10:$F$19)</f>
        <v/>
      </c>
      <c r="H3" s="30" t="n"/>
    </row>
    <row r="4" ht="26" customHeight="1">
      <c r="A4" s="31" t="inlineStr">
        <is>
          <t>MENOR V.T.</t>
        </is>
      </c>
      <c r="B4" s="26" t="n"/>
      <c r="C4" s="32" t="inlineStr">
        <is>
          <t>STATUS</t>
        </is>
      </c>
      <c r="D4" s="26" t="n"/>
      <c r="E4" s="33" t="inlineStr">
        <is>
          <t>LIMITE A</t>
        </is>
      </c>
      <c r="F4" s="26" t="n"/>
      <c r="G4" s="34" t="inlineStr">
        <is>
          <t>LIMITE B</t>
        </is>
      </c>
      <c r="H4" s="30" t="n"/>
    </row>
    <row r="5" ht="26" customHeight="1">
      <c r="A5" s="35">
        <f>MIN($F$10:$F$19)</f>
        <v/>
      </c>
      <c r="B5" s="36" t="n"/>
      <c r="C5" s="37">
        <f>IF(IFERROR(MAX($H$10:$H$19),0)&gt;1.0001,"VERIFICAR","OK")</f>
        <v/>
      </c>
      <c r="D5" s="36" t="n"/>
      <c r="E5" s="38" t="n">
        <v>0.8</v>
      </c>
      <c r="F5" s="36" t="n"/>
      <c r="G5" s="39" t="n">
        <v>0.95</v>
      </c>
      <c r="H5" s="40" t="n"/>
    </row>
    <row r="6" ht="16" customHeight="1">
      <c r="A6" s="41" t="inlineStr">
        <is>
          <t xml:space="preserve">  Edite somente Quant. e Custo Unit. — ABC, V.T. e % recalculam automaticamente.</t>
        </is>
      </c>
    </row>
    <row r="7" ht="20" customHeight="1">
      <c r="J7" s="42" t="inlineStr">
        <is>
          <t>Classe</t>
        </is>
      </c>
      <c r="K7" s="42" t="inlineStr">
        <is>
          <t>Total V.T.</t>
        </is>
      </c>
      <c r="L7" s="42" t="inlineStr">
        <is>
          <t>% Total</t>
        </is>
      </c>
      <c r="M7" s="42" t="inlineStr">
        <is>
          <t>Qtd. Itens</t>
        </is>
      </c>
      <c r="N7" s="42" t="inlineStr">
        <is>
          <t>Barra</t>
        </is>
      </c>
    </row>
    <row r="8" ht="26" customHeight="1">
      <c r="A8" s="43" t="inlineStr">
        <is>
          <t>ABC</t>
        </is>
      </c>
      <c r="B8" s="44" t="inlineStr">
        <is>
          <t>Descricao</t>
        </is>
      </c>
      <c r="C8" s="44" t="inlineStr">
        <is>
          <t>Cod.</t>
        </is>
      </c>
      <c r="D8" s="45" t="inlineStr">
        <is>
          <t>Quant.</t>
        </is>
      </c>
      <c r="E8" s="45" t="inlineStr">
        <is>
          <t>Custo Unit.(R$)</t>
        </is>
      </c>
      <c r="F8" s="43" t="inlineStr">
        <is>
          <t>V.T. (R$)</t>
        </is>
      </c>
      <c r="G8" s="44" t="inlineStr">
        <is>
          <t>% Individual</t>
        </is>
      </c>
      <c r="H8" s="44" t="inlineStr">
        <is>
          <t>% Acumulado</t>
        </is>
      </c>
      <c r="J8" s="46" t="inlineStr">
        <is>
          <t>A</t>
        </is>
      </c>
      <c r="K8" s="47">
        <f>SUMIF($A$10:$A$19,"A",$F$10:$F$19)</f>
        <v/>
      </c>
      <c r="L8" s="48">
        <f>IFERROR(K8/SUM($F$10:$F$19),0)</f>
        <v/>
      </c>
      <c r="M8" s="46">
        <f>COUNTIF($A$10:$A$19,"A")</f>
        <v/>
      </c>
      <c r="N8" s="49">
        <f>REPT(CHAR(9608),ROUND(L8*20,0))</f>
        <v/>
      </c>
      <c r="P8" s="50" t="inlineStr">
        <is>
          <t>Label</t>
        </is>
      </c>
      <c r="Q8" s="50" t="inlineStr">
        <is>
          <t>VT Ord.</t>
        </is>
      </c>
      <c r="R8" s="50" t="inlineStr">
        <is>
          <t>% Acum.</t>
        </is>
      </c>
      <c r="S8" s="50" t="inlineStr">
        <is>
          <t>VT A</t>
        </is>
      </c>
      <c r="T8" s="50" t="inlineStr">
        <is>
          <t>VT B</t>
        </is>
      </c>
      <c r="U8" s="50" t="inlineStr">
        <is>
          <t>VT C</t>
        </is>
      </c>
    </row>
    <row r="9" ht="6" customHeight="1">
      <c r="J9" s="51" t="inlineStr">
        <is>
          <t>B</t>
        </is>
      </c>
      <c r="K9" s="52">
        <f>SUMIF($A$10:$A$19,"B",$F$10:$F$19)</f>
        <v/>
      </c>
      <c r="L9" s="53">
        <f>IFERROR(K9/SUM($F$10:$F$19),0)</f>
        <v/>
      </c>
      <c r="M9" s="51">
        <f>COUNTIF($A$10:$A$19,"B")</f>
        <v/>
      </c>
      <c r="N9" s="54">
        <f>REPT(CHAR(9608),ROUND(L9*20,0))</f>
        <v/>
      </c>
    </row>
    <row r="10" ht="19" customHeight="1">
      <c r="A10" s="46">
        <f>IF($H10&lt;=$E$5,"A",IF($H10&lt;=$G$5,"B","C"))</f>
        <v/>
      </c>
      <c r="B10" s="55" t="inlineStr">
        <is>
          <t>Servidor Backup</t>
        </is>
      </c>
      <c r="C10" s="56" t="n">
        <v>3</v>
      </c>
      <c r="D10" s="57" t="n">
        <v>2</v>
      </c>
      <c r="E10" s="58" t="n">
        <v>25000</v>
      </c>
      <c r="F10" s="59">
        <f>IFERROR(D10*E10,0)</f>
        <v/>
      </c>
      <c r="G10" s="60">
        <f>IFERROR(F10/SUM($F$10:$F$19),0)</f>
        <v/>
      </c>
      <c r="H10" s="60">
        <f>IFERROR(SUMIF($F$10:$F$19,"&gt;="&amp;F10,$F$10:$F$19)/SUM($F$10:$F$19),0)</f>
        <v/>
      </c>
      <c r="J10" s="61" t="inlineStr">
        <is>
          <t>C</t>
        </is>
      </c>
      <c r="K10" s="62">
        <f>SUMIF($A$10:$A$19,"C",$F$10:$F$19)</f>
        <v/>
      </c>
      <c r="L10" s="63">
        <f>IFERROR(K10/SUM($F$10:$F$19),0)</f>
        <v/>
      </c>
      <c r="M10" s="61">
        <f>COUNTIF($A$10:$A$19,"C")</f>
        <v/>
      </c>
      <c r="N10" s="64">
        <f>REPT(CHAR(9608),ROUND(L10*20,0))</f>
        <v/>
      </c>
      <c r="P10" s="65" t="inlineStr">
        <is>
          <t>Servidor Backup (A)</t>
        </is>
      </c>
      <c r="Q10" s="66" t="n">
        <v>50000</v>
      </c>
      <c r="R10" s="67" t="n">
        <v>0.3778</v>
      </c>
      <c r="S10" s="68" t="n">
        <v>50000</v>
      </c>
      <c r="T10" s="69" t="n">
        <v>0</v>
      </c>
      <c r="U10" s="70" t="n">
        <v>0</v>
      </c>
    </row>
    <row r="11" ht="19" customHeight="1">
      <c r="A11" s="46">
        <f>IF($H11&lt;=$E$5,"A",IF($H11&lt;=$G$5,"B","C"))</f>
        <v/>
      </c>
      <c r="B11" s="55" t="inlineStr">
        <is>
          <t>Monitor 27" 4K</t>
        </is>
      </c>
      <c r="C11" s="56" t="n">
        <v>5</v>
      </c>
      <c r="D11" s="57" t="n">
        <v>10</v>
      </c>
      <c r="E11" s="58" t="n">
        <v>3000</v>
      </c>
      <c r="F11" s="59">
        <f>IFERROR(D11*E11,0)</f>
        <v/>
      </c>
      <c r="G11" s="60">
        <f>IFERROR(F11/SUM($F$10:$F$19),0)</f>
        <v/>
      </c>
      <c r="H11" s="60">
        <f>IFERROR(SUMIF($F$10:$F$19,"&gt;="&amp;F11,$F$10:$F$19)/SUM($F$10:$F$19),0)</f>
        <v/>
      </c>
      <c r="P11" s="65" t="inlineStr">
        <is>
          <t>Monitor 27" 4K (A)</t>
        </is>
      </c>
      <c r="Q11" s="66" t="n">
        <v>30000</v>
      </c>
      <c r="R11" s="67" t="n">
        <v>0.6045</v>
      </c>
      <c r="S11" s="68" t="n">
        <v>30000</v>
      </c>
      <c r="T11" s="69" t="n">
        <v>0</v>
      </c>
      <c r="U11" s="70" t="n">
        <v>0</v>
      </c>
    </row>
    <row r="12" ht="19" customHeight="1">
      <c r="A12" s="71">
        <f>IF($H12&lt;=$E$5,"A",IF($H12&lt;=$G$5,"B","C"))</f>
        <v/>
      </c>
      <c r="B12" s="72" t="inlineStr">
        <is>
          <t>Notebook Administrativo</t>
        </is>
      </c>
      <c r="C12" s="73" t="n">
        <v>9</v>
      </c>
      <c r="D12" s="57" t="n">
        <v>6</v>
      </c>
      <c r="E12" s="58" t="n">
        <v>4500</v>
      </c>
      <c r="F12" s="74">
        <f>IFERROR(D12*E12,0)</f>
        <v/>
      </c>
      <c r="G12" s="75">
        <f>IFERROR(F12/SUM($F$10:$F$19),0)</f>
        <v/>
      </c>
      <c r="H12" s="75">
        <f>IFERROR(SUMIF($F$10:$F$19,"&gt;="&amp;F12,$F$10:$F$19)/SUM($F$10:$F$19),0)</f>
        <v/>
      </c>
      <c r="P12" s="65" t="inlineStr">
        <is>
          <t>Notebook Administrat (B)</t>
        </is>
      </c>
      <c r="Q12" s="66" t="n">
        <v>27000</v>
      </c>
      <c r="R12" s="67" t="n">
        <v>0.8085</v>
      </c>
      <c r="S12" s="68" t="n">
        <v>0</v>
      </c>
      <c r="T12" s="69" t="n">
        <v>27000</v>
      </c>
      <c r="U12" s="70" t="n">
        <v>0</v>
      </c>
    </row>
    <row r="13" ht="19" customHeight="1">
      <c r="A13" s="71">
        <f>IF($H13&lt;=$E$5,"A",IF($H13&lt;=$G$5,"B","C"))</f>
        <v/>
      </c>
      <c r="B13" s="72" t="inlineStr">
        <is>
          <t>Nobreak Profissional</t>
        </is>
      </c>
      <c r="C13" s="73" t="n">
        <v>1</v>
      </c>
      <c r="D13" s="57" t="n">
        <v>5</v>
      </c>
      <c r="E13" s="58" t="n">
        <v>2000</v>
      </c>
      <c r="F13" s="74">
        <f>IFERROR(D13*E13,0)</f>
        <v/>
      </c>
      <c r="G13" s="75">
        <f>IFERROR(F13/SUM($F$10:$F$19),0)</f>
        <v/>
      </c>
      <c r="H13" s="75">
        <f>IFERROR(SUMIF($F$10:$F$19,"&gt;="&amp;F13,$F$10:$F$19)/SUM($F$10:$F$19),0)</f>
        <v/>
      </c>
      <c r="P13" s="65" t="inlineStr">
        <is>
          <t>Nobreak Profissional (B)</t>
        </is>
      </c>
      <c r="Q13" s="66" t="n">
        <v>10000</v>
      </c>
      <c r="R13" s="67" t="n">
        <v>0.8841</v>
      </c>
      <c r="S13" s="68" t="n">
        <v>0</v>
      </c>
      <c r="T13" s="69" t="n">
        <v>10000</v>
      </c>
      <c r="U13" s="70" t="n">
        <v>0</v>
      </c>
    </row>
    <row r="14" ht="19" customHeight="1">
      <c r="A14" s="71">
        <f>IF($H14&lt;=$E$5,"A",IF($H14&lt;=$G$5,"B","C"))</f>
        <v/>
      </c>
      <c r="B14" s="72" t="inlineStr">
        <is>
          <t>Switch Gerenciavel</t>
        </is>
      </c>
      <c r="C14" s="73" t="n">
        <v>7</v>
      </c>
      <c r="D14" s="57" t="n">
        <v>4</v>
      </c>
      <c r="E14" s="58" t="n">
        <v>1500</v>
      </c>
      <c r="F14" s="74">
        <f>IFERROR(D14*E14,0)</f>
        <v/>
      </c>
      <c r="G14" s="75">
        <f>IFERROR(F14/SUM($F$10:$F$19),0)</f>
        <v/>
      </c>
      <c r="H14" s="75">
        <f>IFERROR(SUMIF($F$10:$F$19,"&gt;="&amp;F14,$F$10:$F$19)/SUM($F$10:$F$19),0)</f>
        <v/>
      </c>
      <c r="P14" s="65" t="inlineStr">
        <is>
          <t>Switch Gerenciavel (B)</t>
        </is>
      </c>
      <c r="Q14" s="66" t="n">
        <v>6000</v>
      </c>
      <c r="R14" s="67" t="n">
        <v>0.9294</v>
      </c>
      <c r="S14" s="68" t="n">
        <v>0</v>
      </c>
      <c r="T14" s="69" t="n">
        <v>6000</v>
      </c>
      <c r="U14" s="70" t="n">
        <v>0</v>
      </c>
    </row>
    <row r="15" ht="19" customHeight="1">
      <c r="A15" s="61">
        <f>IF($H15&lt;=$E$5,"A",IF($H15&lt;=$G$5,"B","C"))</f>
        <v/>
      </c>
      <c r="B15" s="76" t="inlineStr">
        <is>
          <t>Mouse sem fio</t>
        </is>
      </c>
      <c r="C15" s="77" t="n">
        <v>4</v>
      </c>
      <c r="D15" s="57" t="n">
        <v>40</v>
      </c>
      <c r="E15" s="58" t="n">
        <v>50</v>
      </c>
      <c r="F15" s="78">
        <f>IFERROR(D15*E15,0)</f>
        <v/>
      </c>
      <c r="G15" s="79">
        <f>IFERROR(F15/SUM($F$10:$F$19),0)</f>
        <v/>
      </c>
      <c r="H15" s="79">
        <f>IFERROR(SUMIF($F$10:$F$19,"&gt;="&amp;F15,$F$10:$F$19)/SUM($F$10:$F$19),0)</f>
        <v/>
      </c>
      <c r="P15" s="65" t="inlineStr">
        <is>
          <t>Teclado USB (C)</t>
        </is>
      </c>
      <c r="Q15" s="66" t="n">
        <v>2800</v>
      </c>
      <c r="R15" s="67" t="n">
        <v>0.9506</v>
      </c>
      <c r="S15" s="68" t="n">
        <v>0</v>
      </c>
      <c r="T15" s="69" t="n">
        <v>0</v>
      </c>
      <c r="U15" s="70" t="n">
        <v>2800</v>
      </c>
    </row>
    <row r="16" ht="19" customHeight="1">
      <c r="A16" s="61">
        <f>IF($H16&lt;=$E$5,"A",IF($H16&lt;=$G$5,"B","C"))</f>
        <v/>
      </c>
      <c r="B16" s="76" t="inlineStr">
        <is>
          <t>Patch Cord 1m</t>
        </is>
      </c>
      <c r="C16" s="77" t="n">
        <v>8</v>
      </c>
      <c r="D16" s="57" t="n">
        <v>100</v>
      </c>
      <c r="E16" s="58" t="n">
        <v>15</v>
      </c>
      <c r="F16" s="78">
        <f>IFERROR(D16*E16,0)</f>
        <v/>
      </c>
      <c r="G16" s="79">
        <f>IFERROR(F16/SUM($F$10:$F$19),0)</f>
        <v/>
      </c>
      <c r="H16" s="79">
        <f>IFERROR(SUMIF($F$10:$F$19,"&gt;="&amp;F16,$F$10:$F$19)/SUM($F$10:$F$19),0)</f>
        <v/>
      </c>
      <c r="P16" s="65" t="inlineStr">
        <is>
          <t>Mouse sem fio (C)</t>
        </is>
      </c>
      <c r="Q16" s="66" t="n">
        <v>2000</v>
      </c>
      <c r="R16" s="67" t="n">
        <v>0.9657</v>
      </c>
      <c r="S16" s="68" t="n">
        <v>0</v>
      </c>
      <c r="T16" s="69" t="n">
        <v>0</v>
      </c>
      <c r="U16" s="70" t="n">
        <v>2000</v>
      </c>
    </row>
    <row r="17" ht="19" customHeight="1">
      <c r="A17" s="61">
        <f>IF($H17&lt;=$E$5,"A",IF($H17&lt;=$G$5,"B","C"))</f>
        <v/>
      </c>
      <c r="B17" s="76" t="inlineStr">
        <is>
          <t>Teclado USB</t>
        </is>
      </c>
      <c r="C17" s="77" t="n">
        <v>6</v>
      </c>
      <c r="D17" s="57" t="n">
        <v>80</v>
      </c>
      <c r="E17" s="58" t="n">
        <v>35</v>
      </c>
      <c r="F17" s="78">
        <f>IFERROR(D17*E17,0)</f>
        <v/>
      </c>
      <c r="G17" s="79">
        <f>IFERROR(F17/SUM($F$10:$F$19),0)</f>
        <v/>
      </c>
      <c r="H17" s="79">
        <f>IFERROR(SUMIF($F$10:$F$19,"&gt;="&amp;F17,$F$10:$F$19)/SUM($F$10:$F$19),0)</f>
        <v/>
      </c>
      <c r="P17" s="65" t="inlineStr">
        <is>
          <t>Cabo Rede Cat6 (m) (C)</t>
        </is>
      </c>
      <c r="Q17" s="66" t="n">
        <v>1600</v>
      </c>
      <c r="R17" s="67" t="n">
        <v>0.9778</v>
      </c>
      <c r="S17" s="68" t="n">
        <v>0</v>
      </c>
      <c r="T17" s="69" t="n">
        <v>0</v>
      </c>
      <c r="U17" s="70" t="n">
        <v>1600</v>
      </c>
    </row>
    <row r="18" ht="19" customHeight="1">
      <c r="A18" s="61">
        <f>IF($H18&lt;=$E$5,"A",IF($H18&lt;=$G$5,"B","C"))</f>
        <v/>
      </c>
      <c r="B18" s="76" t="inlineStr">
        <is>
          <t>Cabo Rede Cat6 (m)</t>
        </is>
      </c>
      <c r="C18" s="77" t="n">
        <v>2</v>
      </c>
      <c r="D18" s="57" t="n">
        <v>200</v>
      </c>
      <c r="E18" s="58" t="n">
        <v>8</v>
      </c>
      <c r="F18" s="78">
        <f>IFERROR(D18*E18,0)</f>
        <v/>
      </c>
      <c r="G18" s="79">
        <f>IFERROR(F18/SUM($F$10:$F$19),0)</f>
        <v/>
      </c>
      <c r="H18" s="79">
        <f>IFERROR(SUMIF($F$10:$F$19,"&gt;="&amp;F18,$F$10:$F$19)/SUM($F$10:$F$19),0)</f>
        <v/>
      </c>
      <c r="P18" s="65" t="inlineStr">
        <is>
          <t>Patch Cord 1m (C)</t>
        </is>
      </c>
      <c r="Q18" s="66" t="n">
        <v>1500</v>
      </c>
      <c r="R18" s="67" t="n">
        <v>0.9891</v>
      </c>
      <c r="S18" s="68" t="n">
        <v>0</v>
      </c>
      <c r="T18" s="69" t="n">
        <v>0</v>
      </c>
      <c r="U18" s="70" t="n">
        <v>1500</v>
      </c>
    </row>
    <row r="19" ht="19" customHeight="1">
      <c r="A19" s="61">
        <f>IF($H19&lt;=$E$5,"A",IF($H19&lt;=$G$5,"B","C"))</f>
        <v/>
      </c>
      <c r="B19" s="76" t="inlineStr">
        <is>
          <t>Mousepad Slim</t>
        </is>
      </c>
      <c r="C19" s="77" t="n">
        <v>10</v>
      </c>
      <c r="D19" s="57" t="n">
        <v>120</v>
      </c>
      <c r="E19" s="58" t="n">
        <v>12</v>
      </c>
      <c r="F19" s="78">
        <f>IFERROR(D19*E19,0)</f>
        <v/>
      </c>
      <c r="G19" s="79">
        <f>IFERROR(F19/SUM($F$10:$F$19),0)</f>
        <v/>
      </c>
      <c r="H19" s="79">
        <f>IFERROR(SUMIF($F$10:$F$19,"&gt;="&amp;F19,$F$10:$F$19)/SUM($F$10:$F$19),0)</f>
        <v/>
      </c>
      <c r="P19" s="65" t="inlineStr">
        <is>
          <t>Mousepad Slim (C)</t>
        </is>
      </c>
      <c r="Q19" s="66" t="n">
        <v>1440</v>
      </c>
      <c r="R19" s="67" t="n">
        <v>1</v>
      </c>
      <c r="S19" s="68" t="n">
        <v>0</v>
      </c>
      <c r="T19" s="69" t="n">
        <v>0</v>
      </c>
      <c r="U19" s="70" t="n">
        <v>1440</v>
      </c>
    </row>
    <row r="20" ht="22" customHeight="1">
      <c r="A20" s="80" t="inlineStr">
        <is>
          <t>TOTAL GERAL</t>
        </is>
      </c>
      <c r="B20" s="81" t="n"/>
      <c r="C20" s="81" t="n"/>
      <c r="D20" s="82">
        <f>SUM(D10:D19)</f>
        <v/>
      </c>
      <c r="E20" s="83" t="n"/>
      <c r="F20" s="84">
        <f>SUM(F10:F19)</f>
        <v/>
      </c>
      <c r="G20" s="85" t="n">
        <v>1</v>
      </c>
      <c r="H20" s="85" t="n">
        <v>1</v>
      </c>
    </row>
    <row r="53" ht="16" customHeight="1">
      <c r="A53" s="16" t="inlineStr">
        <is>
          <t xml:space="preserve">  CURVA ABC REGGAE  |  CURVA ABC — PRIMEIRA  |  One Love, One Data  |  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G2:H2"/>
    <mergeCell ref="C5:D5"/>
    <mergeCell ref="E5:F5"/>
    <mergeCell ref="J1:N1"/>
    <mergeCell ref="A1:H1"/>
    <mergeCell ref="A6:H6"/>
    <mergeCell ref="C4:D4"/>
    <mergeCell ref="E4:F4"/>
    <mergeCell ref="A3:B3"/>
    <mergeCell ref="G3:H3"/>
    <mergeCell ref="A20:C20"/>
    <mergeCell ref="A2:B2"/>
    <mergeCell ref="C2:D2"/>
    <mergeCell ref="E2:F2"/>
    <mergeCell ref="A5:B5"/>
    <mergeCell ref="G5:H5"/>
    <mergeCell ref="A4:B4"/>
    <mergeCell ref="G4:H4"/>
    <mergeCell ref="A53:H53"/>
    <mergeCell ref="C3:D3"/>
    <mergeCell ref="E3:F3"/>
  </mergeCells>
  <conditionalFormatting sqref="A10:H1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8A400"/>
    <outlinePr summaryBelow="1" summaryRight="1"/>
    <pageSetUpPr/>
  </sheetPr>
  <dimension ref="A1:U6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0" customWidth="1" min="3" max="3"/>
    <col width="10" customWidth="1" min="4" max="4"/>
    <col width="14" customWidth="1" min="5" max="5"/>
    <col width="16" customWidth="1" min="6" max="6"/>
    <col width="13" customWidth="1" min="7" max="7"/>
    <col width="13" customWidth="1" min="8" max="8"/>
    <col width="2" customWidth="1" min="9" max="9"/>
    <col width="10" customWidth="1" min="10" max="10"/>
    <col width="16" customWidth="1" min="11" max="11"/>
    <col width="10" customWidth="1" min="12" max="12"/>
    <col width="10" customWidth="1" min="13" max="13"/>
    <col width="22" customWidth="1" min="14" max="14"/>
    <col width="30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7" t="inlineStr">
        <is>
          <t>CURVA ABC — ABA 01</t>
        </is>
      </c>
      <c r="I1" s="5" t="n"/>
      <c r="J1" s="18" t="inlineStr">
        <is>
          <t>A = ate 80%   |   B = 80–95%   |   C = 95–100%</t>
        </is>
      </c>
    </row>
    <row r="2" ht="26" customHeight="1">
      <c r="A2" s="19" t="inlineStr">
        <is>
          <t>V.T. TOTAL</t>
        </is>
      </c>
      <c r="B2" s="20" t="n"/>
      <c r="C2" s="21" t="inlineStr">
        <is>
          <t>V.T. CLASSE A</t>
        </is>
      </c>
      <c r="D2" s="20" t="n"/>
      <c r="E2" s="22" t="inlineStr">
        <is>
          <t>% ITENS A</t>
        </is>
      </c>
      <c r="F2" s="20" t="n"/>
      <c r="G2" s="23" t="inlineStr">
        <is>
          <t>MAIOR V.T.</t>
        </is>
      </c>
      <c r="H2" s="24" t="n"/>
    </row>
    <row r="3" ht="26" customHeight="1">
      <c r="A3" s="25">
        <f>SUM($F$10:$F$29)</f>
        <v/>
      </c>
      <c r="B3" s="26" t="n"/>
      <c r="C3" s="27">
        <f>SUMIF($A$10:$A$29,"A",$F$10:$F$29)</f>
        <v/>
      </c>
      <c r="D3" s="26" t="n"/>
      <c r="E3" s="28">
        <f>IFERROR(COUNTIF($A$10:$A$29,"A")/COUNTA($B$10:$B$29),0)</f>
        <v/>
      </c>
      <c r="F3" s="26" t="n"/>
      <c r="G3" s="29">
        <f>MAX($F$10:$F$29)</f>
        <v/>
      </c>
      <c r="H3" s="30" t="n"/>
    </row>
    <row r="4" ht="26" customHeight="1">
      <c r="A4" s="31" t="inlineStr">
        <is>
          <t>MENOR V.T.</t>
        </is>
      </c>
      <c r="B4" s="26" t="n"/>
      <c r="C4" s="32" t="inlineStr">
        <is>
          <t>STATUS</t>
        </is>
      </c>
      <c r="D4" s="26" t="n"/>
      <c r="E4" s="33" t="inlineStr">
        <is>
          <t>LIMITE A</t>
        </is>
      </c>
      <c r="F4" s="26" t="n"/>
      <c r="G4" s="34" t="inlineStr">
        <is>
          <t>LIMITE B</t>
        </is>
      </c>
      <c r="H4" s="30" t="n"/>
    </row>
    <row r="5" ht="26" customHeight="1">
      <c r="A5" s="35">
        <f>MIN($F$10:$F$29)</f>
        <v/>
      </c>
      <c r="B5" s="36" t="n"/>
      <c r="C5" s="37">
        <f>IF(IFERROR(MAX($H$10:$H$29),0)&gt;1.0001,"VERIFICAR","OK")</f>
        <v/>
      </c>
      <c r="D5" s="36" t="n"/>
      <c r="E5" s="38" t="n">
        <v>0.8</v>
      </c>
      <c r="F5" s="36" t="n"/>
      <c r="G5" s="39" t="n">
        <v>0.95</v>
      </c>
      <c r="H5" s="40" t="n"/>
    </row>
    <row r="6" ht="16" customHeight="1">
      <c r="A6" s="41" t="inlineStr">
        <is>
          <t xml:space="preserve">  Edite somente Quant. e Custo Unit. — ABC, V.T. e % recalculam automaticamente.</t>
        </is>
      </c>
    </row>
    <row r="7" ht="20" customHeight="1">
      <c r="J7" s="42" t="inlineStr">
        <is>
          <t>Classe</t>
        </is>
      </c>
      <c r="K7" s="42" t="inlineStr">
        <is>
          <t>Total V.T.</t>
        </is>
      </c>
      <c r="L7" s="42" t="inlineStr">
        <is>
          <t>% Total</t>
        </is>
      </c>
      <c r="M7" s="42" t="inlineStr">
        <is>
          <t>Qtd. Itens</t>
        </is>
      </c>
      <c r="N7" s="42" t="inlineStr">
        <is>
          <t>Barra</t>
        </is>
      </c>
    </row>
    <row r="8" ht="26" customHeight="1">
      <c r="A8" s="43" t="inlineStr">
        <is>
          <t>ABC</t>
        </is>
      </c>
      <c r="B8" s="44" t="inlineStr">
        <is>
          <t>Descricao</t>
        </is>
      </c>
      <c r="C8" s="44" t="inlineStr">
        <is>
          <t>Cod.</t>
        </is>
      </c>
      <c r="D8" s="45" t="inlineStr">
        <is>
          <t>Quant.</t>
        </is>
      </c>
      <c r="E8" s="45" t="inlineStr">
        <is>
          <t>Custo Unit.(R$)</t>
        </is>
      </c>
      <c r="F8" s="43" t="inlineStr">
        <is>
          <t>V.T. (R$)</t>
        </is>
      </c>
      <c r="G8" s="44" t="inlineStr">
        <is>
          <t>% Individual</t>
        </is>
      </c>
      <c r="H8" s="44" t="inlineStr">
        <is>
          <t>% Acumulado</t>
        </is>
      </c>
      <c r="J8" s="46" t="inlineStr">
        <is>
          <t>A</t>
        </is>
      </c>
      <c r="K8" s="47">
        <f>SUMIF($A$10:$A$29,"A",$F$10:$F$29)</f>
        <v/>
      </c>
      <c r="L8" s="48">
        <f>IFERROR(K8/SUM($F$10:$F$29),0)</f>
        <v/>
      </c>
      <c r="M8" s="46">
        <f>COUNTIF($A$10:$A$29,"A")</f>
        <v/>
      </c>
      <c r="N8" s="49">
        <f>REPT(CHAR(9608),ROUND(L8*20,0))</f>
        <v/>
      </c>
      <c r="P8" s="50" t="inlineStr">
        <is>
          <t>Label</t>
        </is>
      </c>
      <c r="Q8" s="50" t="inlineStr">
        <is>
          <t>VT Ord.</t>
        </is>
      </c>
      <c r="R8" s="50" t="inlineStr">
        <is>
          <t>% Acum.</t>
        </is>
      </c>
      <c r="S8" s="50" t="inlineStr">
        <is>
          <t>VT A</t>
        </is>
      </c>
      <c r="T8" s="50" t="inlineStr">
        <is>
          <t>VT B</t>
        </is>
      </c>
      <c r="U8" s="50" t="inlineStr">
        <is>
          <t>VT C</t>
        </is>
      </c>
    </row>
    <row r="9" ht="6" customHeight="1">
      <c r="J9" s="51" t="inlineStr">
        <is>
          <t>B</t>
        </is>
      </c>
      <c r="K9" s="52">
        <f>SUMIF($A$10:$A$29,"B",$F$10:$F$29)</f>
        <v/>
      </c>
      <c r="L9" s="53">
        <f>IFERROR(K9/SUM($F$10:$F$29),0)</f>
        <v/>
      </c>
      <c r="M9" s="51">
        <f>COUNTIF($A$10:$A$29,"B")</f>
        <v/>
      </c>
      <c r="N9" s="54">
        <f>REPT(CHAR(9608),ROUND(L9*20,0))</f>
        <v/>
      </c>
    </row>
    <row r="10" ht="19" customHeight="1">
      <c r="A10" s="46">
        <f>IF($H10&lt;=$E$5,"A",IF($H10&lt;=$G$5,"B","C"))</f>
        <v/>
      </c>
      <c r="B10" s="55" t="inlineStr">
        <is>
          <t>Notebook Executivo i7</t>
        </is>
      </c>
      <c r="C10" s="56" t="n">
        <v>10</v>
      </c>
      <c r="D10" s="57" t="n">
        <v>35</v>
      </c>
      <c r="E10" s="58" t="n">
        <v>6500</v>
      </c>
      <c r="F10" s="59">
        <f>IFERROR(D10*E10,0)</f>
        <v/>
      </c>
      <c r="G10" s="60">
        <f>IFERROR(F10/SUM($F$10:$F$29),0)</f>
        <v/>
      </c>
      <c r="H10" s="60">
        <f>IFERROR(SUMIF($F$10:$F$29,"&gt;="&amp;F10,$F$10:$F$29)/SUM($F$10:$F$29),0)</f>
        <v/>
      </c>
      <c r="J10" s="61" t="inlineStr">
        <is>
          <t>C</t>
        </is>
      </c>
      <c r="K10" s="62">
        <f>SUMIF($A$10:$A$29,"C",$F$10:$F$29)</f>
        <v/>
      </c>
      <c r="L10" s="63">
        <f>IFERROR(K10/SUM($F$10:$F$29),0)</f>
        <v/>
      </c>
      <c r="M10" s="61">
        <f>COUNTIF($A$10:$A$29,"C")</f>
        <v/>
      </c>
      <c r="N10" s="64">
        <f>REPT(CHAR(9608),ROUND(L10*20,0))</f>
        <v/>
      </c>
      <c r="P10" s="65" t="inlineStr">
        <is>
          <t>Notebook Executivo i (A)</t>
        </is>
      </c>
      <c r="Q10" s="66" t="n">
        <v>227500</v>
      </c>
      <c r="R10" s="67" t="n">
        <v>0.3531</v>
      </c>
      <c r="S10" s="68" t="n">
        <v>227500</v>
      </c>
      <c r="T10" s="69" t="n">
        <v>0</v>
      </c>
      <c r="U10" s="70" t="n">
        <v>0</v>
      </c>
    </row>
    <row r="11" ht="19" customHeight="1">
      <c r="A11" s="46">
        <f>IF($H11&lt;=$E$5,"A",IF($H11&lt;=$G$5,"B","C"))</f>
        <v/>
      </c>
      <c r="B11" s="55" t="inlineStr">
        <is>
          <t>Servidor de Dados Pro</t>
        </is>
      </c>
      <c r="C11" s="56" t="n">
        <v>2</v>
      </c>
      <c r="D11" s="57" t="n">
        <v>12</v>
      </c>
      <c r="E11" s="58" t="n">
        <v>15000</v>
      </c>
      <c r="F11" s="59">
        <f>IFERROR(D11*E11,0)</f>
        <v/>
      </c>
      <c r="G11" s="60">
        <f>IFERROR(F11/SUM($F$10:$F$29),0)</f>
        <v/>
      </c>
      <c r="H11" s="60">
        <f>IFERROR(SUMIF($F$10:$F$29,"&gt;="&amp;F11,$F$10:$F$29)/SUM($F$10:$F$29),0)</f>
        <v/>
      </c>
      <c r="P11" s="65" t="inlineStr">
        <is>
          <t>Servidor de Dados Pr (A)</t>
        </is>
      </c>
      <c r="Q11" s="66" t="n">
        <v>180000</v>
      </c>
      <c r="R11" s="67" t="n">
        <v>0.6324</v>
      </c>
      <c r="S11" s="68" t="n">
        <v>180000</v>
      </c>
      <c r="T11" s="69" t="n">
        <v>0</v>
      </c>
      <c r="U11" s="70" t="n">
        <v>0</v>
      </c>
    </row>
    <row r="12" ht="19" customHeight="1">
      <c r="A12" s="46">
        <f>IF($H12&lt;=$E$5,"A",IF($H12&lt;=$G$5,"B","C"))</f>
        <v/>
      </c>
      <c r="B12" s="55" t="inlineStr">
        <is>
          <t>Impressora Multifuncional</t>
        </is>
      </c>
      <c r="C12" s="56" t="n">
        <v>17</v>
      </c>
      <c r="D12" s="57" t="n">
        <v>55</v>
      </c>
      <c r="E12" s="58" t="n">
        <v>1100</v>
      </c>
      <c r="F12" s="59">
        <f>IFERROR(D12*E12,0)</f>
        <v/>
      </c>
      <c r="G12" s="60">
        <f>IFERROR(F12/SUM($F$10:$F$29),0)</f>
        <v/>
      </c>
      <c r="H12" s="60">
        <f>IFERROR(SUMIF($F$10:$F$29,"&gt;="&amp;F12,$F$10:$F$29)/SUM($F$10:$F$29),0)</f>
        <v/>
      </c>
      <c r="P12" s="65" t="inlineStr">
        <is>
          <t>Impressora Multifunc (A)</t>
        </is>
      </c>
      <c r="Q12" s="66" t="n">
        <v>60500</v>
      </c>
      <c r="R12" s="67" t="n">
        <v>0.7262999999999999</v>
      </c>
      <c r="S12" s="68" t="n">
        <v>60500</v>
      </c>
      <c r="T12" s="69" t="n">
        <v>0</v>
      </c>
      <c r="U12" s="70" t="n">
        <v>0</v>
      </c>
    </row>
    <row r="13" ht="19" customHeight="1">
      <c r="A13" s="46">
        <f>IF($H13&lt;=$E$5,"A",IF($H13&lt;=$G$5,"B","C"))</f>
        <v/>
      </c>
      <c r="B13" s="55" t="inlineStr">
        <is>
          <t>Toner Impressora Laser</t>
        </is>
      </c>
      <c r="C13" s="56" t="n">
        <v>12</v>
      </c>
      <c r="D13" s="57" t="n">
        <v>68</v>
      </c>
      <c r="E13" s="58" t="n">
        <v>680</v>
      </c>
      <c r="F13" s="59">
        <f>IFERROR(D13*E13,0)</f>
        <v/>
      </c>
      <c r="G13" s="60">
        <f>IFERROR(F13/SUM($F$10:$F$29),0)</f>
        <v/>
      </c>
      <c r="H13" s="60">
        <f>IFERROR(SUMIF($F$10:$F$29,"&gt;="&amp;F13,$F$10:$F$29)/SUM($F$10:$F$29),0)</f>
        <v/>
      </c>
      <c r="P13" s="65" t="inlineStr">
        <is>
          <t>Toner Impressora Las (A)</t>
        </is>
      </c>
      <c r="Q13" s="66" t="n">
        <v>46240</v>
      </c>
      <c r="R13" s="67" t="n">
        <v>0.7981</v>
      </c>
      <c r="S13" s="68" t="n">
        <v>46240</v>
      </c>
      <c r="T13" s="69" t="n">
        <v>0</v>
      </c>
      <c r="U13" s="70" t="n">
        <v>0</v>
      </c>
    </row>
    <row r="14" ht="19" customHeight="1">
      <c r="A14" s="71">
        <f>IF($H14&lt;=$E$5,"A",IF($H14&lt;=$G$5,"B","C"))</f>
        <v/>
      </c>
      <c r="B14" s="72" t="inlineStr">
        <is>
          <t>Memoria RAM 16GB</t>
        </is>
      </c>
      <c r="C14" s="73" t="n">
        <v>19</v>
      </c>
      <c r="D14" s="57" t="n">
        <v>45</v>
      </c>
      <c r="E14" s="58" t="n">
        <v>380</v>
      </c>
      <c r="F14" s="74">
        <f>IFERROR(D14*E14,0)</f>
        <v/>
      </c>
      <c r="G14" s="75">
        <f>IFERROR(F14/SUM($F$10:$F$29),0)</f>
        <v/>
      </c>
      <c r="H14" s="75">
        <f>IFERROR(SUMIF($F$10:$F$29,"&gt;="&amp;F14,$F$10:$F$29)/SUM($F$10:$F$29),0)</f>
        <v/>
      </c>
      <c r="P14" s="65" t="inlineStr">
        <is>
          <t>Memoria RAM 16GB (B)</t>
        </is>
      </c>
      <c r="Q14" s="66" t="n">
        <v>17100</v>
      </c>
      <c r="R14" s="67" t="n">
        <v>0.8246</v>
      </c>
      <c r="S14" s="68" t="n">
        <v>0</v>
      </c>
      <c r="T14" s="69" t="n">
        <v>17100</v>
      </c>
      <c r="U14" s="70" t="n">
        <v>0</v>
      </c>
    </row>
    <row r="15" ht="19" customHeight="1">
      <c r="A15" s="71">
        <f>IF($H15&lt;=$E$5,"A",IF($H15&lt;=$G$5,"B","C"))</f>
        <v/>
      </c>
      <c r="B15" s="72" t="inlineStr">
        <is>
          <t>Monitor LED 24"</t>
        </is>
      </c>
      <c r="C15" s="73" t="n">
        <v>4</v>
      </c>
      <c r="D15" s="57" t="n">
        <v>20</v>
      </c>
      <c r="E15" s="58" t="n">
        <v>850</v>
      </c>
      <c r="F15" s="74">
        <f>IFERROR(D15*E15,0)</f>
        <v/>
      </c>
      <c r="G15" s="75">
        <f>IFERROR(F15/SUM($F$10:$F$29),0)</f>
        <v/>
      </c>
      <c r="H15" s="75">
        <f>IFERROR(SUMIF($F$10:$F$29,"&gt;="&amp;F15,$F$10:$F$29)/SUM($F$10:$F$29),0)</f>
        <v/>
      </c>
      <c r="P15" s="65" t="inlineStr">
        <is>
          <t>Monitor LED 24" (B)</t>
        </is>
      </c>
      <c r="Q15" s="66" t="n">
        <v>17000</v>
      </c>
      <c r="R15" s="67" t="n">
        <v>0.851</v>
      </c>
      <c r="S15" s="68" t="n">
        <v>0</v>
      </c>
      <c r="T15" s="69" t="n">
        <v>17000</v>
      </c>
      <c r="U15" s="70" t="n">
        <v>0</v>
      </c>
    </row>
    <row r="16" ht="19" customHeight="1">
      <c r="A16" s="71">
        <f>IF($H16&lt;=$E$5,"A",IF($H16&lt;=$G$5,"B","C"))</f>
        <v/>
      </c>
      <c r="B16" s="72" t="inlineStr">
        <is>
          <t>Webcam Full HD</t>
        </is>
      </c>
      <c r="C16" s="73" t="n">
        <v>14</v>
      </c>
      <c r="D16" s="57" t="n">
        <v>82</v>
      </c>
      <c r="E16" s="58" t="n">
        <v>180</v>
      </c>
      <c r="F16" s="74">
        <f>IFERROR(D16*E16,0)</f>
        <v/>
      </c>
      <c r="G16" s="75">
        <f>IFERROR(F16/SUM($F$10:$F$29),0)</f>
        <v/>
      </c>
      <c r="H16" s="75">
        <f>IFERROR(SUMIF($F$10:$F$29,"&gt;="&amp;F16,$F$10:$F$29)/SUM($F$10:$F$29),0)</f>
        <v/>
      </c>
      <c r="P16" s="65" t="inlineStr">
        <is>
          <t>Webcam Full HD (B)</t>
        </is>
      </c>
      <c r="Q16" s="66" t="n">
        <v>14760</v>
      </c>
      <c r="R16" s="67" t="n">
        <v>0.8739</v>
      </c>
      <c r="S16" s="68" t="n">
        <v>0</v>
      </c>
      <c r="T16" s="69" t="n">
        <v>14760</v>
      </c>
      <c r="U16" s="70" t="n">
        <v>0</v>
      </c>
    </row>
    <row r="17" ht="19" customHeight="1">
      <c r="A17" s="71">
        <f>IF($H17&lt;=$E$5,"A",IF($H17&lt;=$G$5,"B","C"))</f>
        <v/>
      </c>
      <c r="B17" s="72" t="inlineStr">
        <is>
          <t>Roteador Wi-Fi 6</t>
        </is>
      </c>
      <c r="C17" s="73" t="n">
        <v>11</v>
      </c>
      <c r="D17" s="57" t="n">
        <v>15</v>
      </c>
      <c r="E17" s="58" t="n">
        <v>650</v>
      </c>
      <c r="F17" s="74">
        <f>IFERROR(D17*E17,0)</f>
        <v/>
      </c>
      <c r="G17" s="75">
        <f>IFERROR(F17/SUM($F$10:$F$29),0)</f>
        <v/>
      </c>
      <c r="H17" s="75">
        <f>IFERROR(SUMIF($F$10:$F$29,"&gt;="&amp;F17,$F$10:$F$29)/SUM($F$10:$F$29),0)</f>
        <v/>
      </c>
      <c r="P17" s="65" t="inlineStr">
        <is>
          <t>SSD 480GB Sata (B)</t>
        </is>
      </c>
      <c r="Q17" s="66" t="n">
        <v>10450</v>
      </c>
      <c r="R17" s="67" t="n">
        <v>0.8901</v>
      </c>
      <c r="S17" s="68" t="n">
        <v>0</v>
      </c>
      <c r="T17" s="69" t="n">
        <v>10450</v>
      </c>
      <c r="U17" s="70" t="n">
        <v>0</v>
      </c>
    </row>
    <row r="18" ht="19" customHeight="1">
      <c r="A18" s="71">
        <f>IF($H18&lt;=$E$5,"A",IF($H18&lt;=$G$5,"B","C"))</f>
        <v/>
      </c>
      <c r="B18" s="72" t="inlineStr">
        <is>
          <t>SSD 480GB Sata</t>
        </is>
      </c>
      <c r="C18" s="73" t="n">
        <v>15</v>
      </c>
      <c r="D18" s="57" t="n">
        <v>55</v>
      </c>
      <c r="E18" s="58" t="n">
        <v>190</v>
      </c>
      <c r="F18" s="74">
        <f>IFERROR(D18*E18,0)</f>
        <v/>
      </c>
      <c r="G18" s="75">
        <f>IFERROR(F18/SUM($F$10:$F$29),0)</f>
        <v/>
      </c>
      <c r="H18" s="75">
        <f>IFERROR(SUMIF($F$10:$F$29,"&gt;="&amp;F18,$F$10:$F$29)/SUM($F$10:$F$29),0)</f>
        <v/>
      </c>
      <c r="P18" s="65" t="inlineStr">
        <is>
          <t>Roteador Wi-Fi 6 (B)</t>
        </is>
      </c>
      <c r="Q18" s="66" t="n">
        <v>9750</v>
      </c>
      <c r="R18" s="67" t="n">
        <v>0.9053</v>
      </c>
      <c r="S18" s="68" t="n">
        <v>0</v>
      </c>
      <c r="T18" s="69" t="n">
        <v>9750</v>
      </c>
      <c r="U18" s="70" t="n">
        <v>0</v>
      </c>
    </row>
    <row r="19" ht="19" customHeight="1">
      <c r="A19" s="71">
        <f>IF($H19&lt;=$E$5,"A",IF($H19&lt;=$G$5,"B","C"))</f>
        <v/>
      </c>
      <c r="B19" s="72" t="inlineStr">
        <is>
          <t>Nobreak 1500VA</t>
        </is>
      </c>
      <c r="C19" s="73" t="n">
        <v>6</v>
      </c>
      <c r="D19" s="57" t="n">
        <v>8</v>
      </c>
      <c r="E19" s="58" t="n">
        <v>1200</v>
      </c>
      <c r="F19" s="74">
        <f>IFERROR(D19*E19,0)</f>
        <v/>
      </c>
      <c r="G19" s="75">
        <f>IFERROR(F19/SUM($F$10:$F$29),0)</f>
        <v/>
      </c>
      <c r="H19" s="75">
        <f>IFERROR(SUMIF($F$10:$F$29,"&gt;="&amp;F19,$F$10:$F$29)/SUM($F$10:$F$29),0)</f>
        <v/>
      </c>
      <c r="P19" s="65" t="inlineStr">
        <is>
          <t>Nobreak 1500VA (B)</t>
        </is>
      </c>
      <c r="Q19" s="66" t="n">
        <v>9600</v>
      </c>
      <c r="R19" s="67" t="n">
        <v>0.9202</v>
      </c>
      <c r="S19" s="68" t="n">
        <v>0</v>
      </c>
      <c r="T19" s="69" t="n">
        <v>9600</v>
      </c>
      <c r="U19" s="70" t="n">
        <v>0</v>
      </c>
    </row>
    <row r="20" ht="19" customHeight="1">
      <c r="A20" s="71">
        <f>IF($H20&lt;=$E$5,"A",IF($H20&lt;=$G$5,"B","C"))</f>
        <v/>
      </c>
      <c r="B20" s="72" t="inlineStr">
        <is>
          <t>HD Externo 2TB</t>
        </is>
      </c>
      <c r="C20" s="73" t="n">
        <v>20</v>
      </c>
      <c r="D20" s="57" t="n">
        <v>18</v>
      </c>
      <c r="E20" s="58" t="n">
        <v>420</v>
      </c>
      <c r="F20" s="74">
        <f>IFERROR(D20*E20,0)</f>
        <v/>
      </c>
      <c r="G20" s="75">
        <f>IFERROR(F20/SUM($F$10:$F$29),0)</f>
        <v/>
      </c>
      <c r="H20" s="75">
        <f>IFERROR(SUMIF($F$10:$F$29,"&gt;="&amp;F20,$F$10:$F$29)/SUM($F$10:$F$29),0)</f>
        <v/>
      </c>
      <c r="P20" s="65" t="inlineStr">
        <is>
          <t>HD Externo 2TB (B)</t>
        </is>
      </c>
      <c r="Q20" s="66" t="n">
        <v>7560</v>
      </c>
      <c r="R20" s="67" t="n">
        <v>0.9319</v>
      </c>
      <c r="S20" s="68" t="n">
        <v>0</v>
      </c>
      <c r="T20" s="69" t="n">
        <v>7560</v>
      </c>
      <c r="U20" s="70" t="n">
        <v>0</v>
      </c>
    </row>
    <row r="21" ht="19" customHeight="1">
      <c r="A21" s="71">
        <f>IF($H21&lt;=$E$5,"A",IF($H21&lt;=$G$5,"B","C"))</f>
        <v/>
      </c>
      <c r="B21" s="72" t="inlineStr">
        <is>
          <t>Teclado Mecanico RGB</t>
        </is>
      </c>
      <c r="C21" s="73" t="n">
        <v>5</v>
      </c>
      <c r="D21" s="57" t="n">
        <v>30</v>
      </c>
      <c r="E21" s="58" t="n">
        <v>250</v>
      </c>
      <c r="F21" s="74">
        <f>IFERROR(D21*E21,0)</f>
        <v/>
      </c>
      <c r="G21" s="75">
        <f>IFERROR(F21/SUM($F$10:$F$29),0)</f>
        <v/>
      </c>
      <c r="H21" s="75">
        <f>IFERROR(SUMIF($F$10:$F$29,"&gt;="&amp;F21,$F$10:$F$29)/SUM($F$10:$F$29),0)</f>
        <v/>
      </c>
      <c r="P21" s="65" t="inlineStr">
        <is>
          <t>Teclado Mecanico RGB (B)</t>
        </is>
      </c>
      <c r="Q21" s="66" t="n">
        <v>7500</v>
      </c>
      <c r="R21" s="67" t="n">
        <v>0.9435</v>
      </c>
      <c r="S21" s="68" t="n">
        <v>0</v>
      </c>
      <c r="T21" s="69" t="n">
        <v>7500</v>
      </c>
      <c r="U21" s="70" t="n">
        <v>0</v>
      </c>
    </row>
    <row r="22" ht="19" customHeight="1">
      <c r="A22" s="61">
        <f>IF($H22&lt;=$E$5,"A",IF($H22&lt;=$G$5,"B","C"))</f>
        <v/>
      </c>
      <c r="B22" s="76" t="inlineStr">
        <is>
          <t>Pen Drive 64GB</t>
        </is>
      </c>
      <c r="C22" s="77" t="n">
        <v>9</v>
      </c>
      <c r="D22" s="57" t="n">
        <v>160</v>
      </c>
      <c r="E22" s="58" t="n">
        <v>45</v>
      </c>
      <c r="F22" s="78">
        <f>IFERROR(D22*E22,0)</f>
        <v/>
      </c>
      <c r="G22" s="79">
        <f>IFERROR(F22/SUM($F$10:$F$29),0)</f>
        <v/>
      </c>
      <c r="H22" s="79">
        <f>IFERROR(SUMIF($F$10:$F$29,"&gt;="&amp;F22,$F$10:$F$29)/SUM($F$10:$F$29),0)</f>
        <v/>
      </c>
      <c r="P22" s="65" t="inlineStr">
        <is>
          <t>Pen Drive 64GB (C)</t>
        </is>
      </c>
      <c r="Q22" s="66" t="n">
        <v>7200</v>
      </c>
      <c r="R22" s="67" t="n">
        <v>0.9547</v>
      </c>
      <c r="S22" s="68" t="n">
        <v>0</v>
      </c>
      <c r="T22" s="69" t="n">
        <v>0</v>
      </c>
      <c r="U22" s="70" t="n">
        <v>7200</v>
      </c>
    </row>
    <row r="23" ht="19" customHeight="1">
      <c r="A23" s="61">
        <f>IF($H23&lt;=$E$5,"A",IF($H23&lt;=$G$5,"B","C"))</f>
        <v/>
      </c>
      <c r="B23" s="76" t="inlineStr">
        <is>
          <t>Headset com Microfone</t>
        </is>
      </c>
      <c r="C23" s="77" t="n">
        <v>13</v>
      </c>
      <c r="D23" s="57" t="n">
        <v>64</v>
      </c>
      <c r="E23" s="58" t="n">
        <v>110</v>
      </c>
      <c r="F23" s="78">
        <f>IFERROR(D23*E23,0)</f>
        <v/>
      </c>
      <c r="G23" s="79">
        <f>IFERROR(F23/SUM($F$10:$F$29),0)</f>
        <v/>
      </c>
      <c r="H23" s="79">
        <f>IFERROR(SUMIF($F$10:$F$29,"&gt;="&amp;F23,$F$10:$F$29)/SUM($F$10:$F$29),0)</f>
        <v/>
      </c>
      <c r="P23" s="65" t="inlineStr">
        <is>
          <t>Headset com Microfon (C)</t>
        </is>
      </c>
      <c r="Q23" s="66" t="n">
        <v>7040</v>
      </c>
      <c r="R23" s="67" t="n">
        <v>0.9656</v>
      </c>
      <c r="S23" s="68" t="n">
        <v>0</v>
      </c>
      <c r="T23" s="69" t="n">
        <v>0</v>
      </c>
      <c r="U23" s="70" t="n">
        <v>7040</v>
      </c>
    </row>
    <row r="24" ht="19" customHeight="1">
      <c r="A24" s="61">
        <f>IF($H24&lt;=$E$5,"A",IF($H24&lt;=$G$5,"B","C"))</f>
        <v/>
      </c>
      <c r="B24" s="76" t="inlineStr">
        <is>
          <t>Pacote de Papel A4</t>
        </is>
      </c>
      <c r="C24" s="77" t="n">
        <v>7</v>
      </c>
      <c r="D24" s="57" t="n">
        <v>237</v>
      </c>
      <c r="E24" s="58" t="n">
        <v>28</v>
      </c>
      <c r="F24" s="78">
        <f>IFERROR(D24*E24,0)</f>
        <v/>
      </c>
      <c r="G24" s="79">
        <f>IFERROR(F24/SUM($F$10:$F$29),0)</f>
        <v/>
      </c>
      <c r="H24" s="79">
        <f>IFERROR(SUMIF($F$10:$F$29,"&gt;="&amp;F24,$F$10:$F$29)/SUM($F$10:$F$29),0)</f>
        <v/>
      </c>
      <c r="P24" s="65" t="inlineStr">
        <is>
          <t>Pacote de Papel A4 (C)</t>
        </is>
      </c>
      <c r="Q24" s="66" t="n">
        <v>6636</v>
      </c>
      <c r="R24" s="67" t="n">
        <v>0.9759</v>
      </c>
      <c r="S24" s="68" t="n">
        <v>0</v>
      </c>
      <c r="T24" s="69" t="n">
        <v>0</v>
      </c>
      <c r="U24" s="70" t="n">
        <v>6636</v>
      </c>
    </row>
    <row r="25" ht="19" customHeight="1">
      <c r="A25" s="61">
        <f>IF($H25&lt;=$E$5,"A",IF($H25&lt;=$G$5,"B","C"))</f>
        <v/>
      </c>
      <c r="B25" s="76" t="inlineStr">
        <is>
          <t>Filtro de Linha 5 Tom.</t>
        </is>
      </c>
      <c r="C25" s="77" t="n">
        <v>18</v>
      </c>
      <c r="D25" s="57" t="n">
        <v>110</v>
      </c>
      <c r="E25" s="58" t="n">
        <v>40</v>
      </c>
      <c r="F25" s="78">
        <f>IFERROR(D25*E25,0)</f>
        <v/>
      </c>
      <c r="G25" s="79">
        <f>IFERROR(F25/SUM($F$10:$F$29),0)</f>
        <v/>
      </c>
      <c r="H25" s="79">
        <f>IFERROR(SUMIF($F$10:$F$29,"&gt;="&amp;F25,$F$10:$F$29)/SUM($F$10:$F$29),0)</f>
        <v/>
      </c>
      <c r="P25" s="65" t="inlineStr">
        <is>
          <t>Filtro de Linha 5 To (C)</t>
        </is>
      </c>
      <c r="Q25" s="66" t="n">
        <v>4400</v>
      </c>
      <c r="R25" s="67" t="n">
        <v>0.9828</v>
      </c>
      <c r="S25" s="68" t="n">
        <v>0</v>
      </c>
      <c r="T25" s="69" t="n">
        <v>0</v>
      </c>
      <c r="U25" s="70" t="n">
        <v>4400</v>
      </c>
    </row>
    <row r="26" ht="19" customHeight="1">
      <c r="A26" s="61">
        <f>IF($H26&lt;=$E$5,"A",IF($H26&lt;=$G$5,"B","C"))</f>
        <v/>
      </c>
      <c r="B26" s="76" t="inlineStr">
        <is>
          <t>Cabo HDMI 2m</t>
        </is>
      </c>
      <c r="C26" s="77" t="n">
        <v>1</v>
      </c>
      <c r="D26" s="57" t="n">
        <v>150</v>
      </c>
      <c r="E26" s="58" t="n">
        <v>25</v>
      </c>
      <c r="F26" s="78">
        <f>IFERROR(D26*E26,0)</f>
        <v/>
      </c>
      <c r="G26" s="79">
        <f>IFERROR(F26/SUM($F$10:$F$29),0)</f>
        <v/>
      </c>
      <c r="H26" s="79">
        <f>IFERROR(SUMIF($F$10:$F$29,"&gt;="&amp;F26,$F$10:$F$29)/SUM($F$10:$F$29),0)</f>
        <v/>
      </c>
      <c r="P26" s="65" t="inlineStr">
        <is>
          <t>Cabo HDMI 2m (C)</t>
        </is>
      </c>
      <c r="Q26" s="66" t="n">
        <v>3750</v>
      </c>
      <c r="R26" s="67" t="n">
        <v>0.9886</v>
      </c>
      <c r="S26" s="68" t="n">
        <v>0</v>
      </c>
      <c r="T26" s="69" t="n">
        <v>0</v>
      </c>
      <c r="U26" s="70" t="n">
        <v>3750</v>
      </c>
    </row>
    <row r="27" ht="19" customHeight="1">
      <c r="A27" s="61">
        <f>IF($H27&lt;=$E$5,"A",IF($H27&lt;=$G$5,"B","C"))</f>
        <v/>
      </c>
      <c r="B27" s="76" t="inlineStr">
        <is>
          <t>Adaptador USB-C</t>
        </is>
      </c>
      <c r="C27" s="77" t="n">
        <v>16</v>
      </c>
      <c r="D27" s="57" t="n">
        <v>90</v>
      </c>
      <c r="E27" s="58" t="n">
        <v>35</v>
      </c>
      <c r="F27" s="78">
        <f>IFERROR(D27*E27,0)</f>
        <v/>
      </c>
      <c r="G27" s="79">
        <f>IFERROR(F27/SUM($F$10:$F$29),0)</f>
        <v/>
      </c>
      <c r="H27" s="79">
        <f>IFERROR(SUMIF($F$10:$F$29,"&gt;="&amp;F27,$F$10:$F$29)/SUM($F$10:$F$29),0)</f>
        <v/>
      </c>
      <c r="P27" s="65" t="inlineStr">
        <is>
          <t>Adaptador USB-C (C)</t>
        </is>
      </c>
      <c r="Q27" s="66" t="n">
        <v>3150</v>
      </c>
      <c r="R27" s="67" t="n">
        <v>0.9935</v>
      </c>
      <c r="S27" s="68" t="n">
        <v>0</v>
      </c>
      <c r="T27" s="69" t="n">
        <v>0</v>
      </c>
      <c r="U27" s="70" t="n">
        <v>3150</v>
      </c>
    </row>
    <row r="28" ht="19" customHeight="1">
      <c r="A28" s="61">
        <f>IF($H28&lt;=$E$5,"A",IF($H28&lt;=$G$5,"B","C"))</f>
        <v/>
      </c>
      <c r="B28" s="76" t="inlineStr">
        <is>
          <t>Mouse Optico Simples</t>
        </is>
      </c>
      <c r="C28" s="77" t="n">
        <v>3</v>
      </c>
      <c r="D28" s="57" t="n">
        <v>120</v>
      </c>
      <c r="E28" s="58" t="n">
        <v>15</v>
      </c>
      <c r="F28" s="78">
        <f>IFERROR(D28*E28,0)</f>
        <v/>
      </c>
      <c r="G28" s="79">
        <f>IFERROR(F28/SUM($F$10:$F$29),0)</f>
        <v/>
      </c>
      <c r="H28" s="79">
        <f>IFERROR(SUMIF($F$10:$F$29,"&gt;="&amp;F28,$F$10:$F$29)/SUM($F$10:$F$29),0)</f>
        <v/>
      </c>
      <c r="P28" s="65" t="inlineStr">
        <is>
          <t>Patch Cord RJ45 1m (C)</t>
        </is>
      </c>
      <c r="Q28" s="66" t="n">
        <v>2400</v>
      </c>
      <c r="R28" s="67" t="n">
        <v>0.9972</v>
      </c>
      <c r="S28" s="68" t="n">
        <v>0</v>
      </c>
      <c r="T28" s="69" t="n">
        <v>0</v>
      </c>
      <c r="U28" s="70" t="n">
        <v>2400</v>
      </c>
    </row>
    <row r="29" ht="19" customHeight="1">
      <c r="A29" s="61">
        <f>IF($H29&lt;=$E$5,"A",IF($H29&lt;=$G$5,"B","C"))</f>
        <v/>
      </c>
      <c r="B29" s="76" t="inlineStr">
        <is>
          <t>Patch Cord RJ45 1m</t>
        </is>
      </c>
      <c r="C29" s="77" t="n">
        <v>8</v>
      </c>
      <c r="D29" s="57" t="n">
        <v>200</v>
      </c>
      <c r="E29" s="58" t="n">
        <v>12</v>
      </c>
      <c r="F29" s="78">
        <f>IFERROR(D29*E29,0)</f>
        <v/>
      </c>
      <c r="G29" s="79">
        <f>IFERROR(F29/SUM($F$10:$F$29),0)</f>
        <v/>
      </c>
      <c r="H29" s="79">
        <f>IFERROR(SUMIF($F$10:$F$29,"&gt;="&amp;F29,$F$10:$F$29)/SUM($F$10:$F$29),0)</f>
        <v/>
      </c>
      <c r="P29" s="65" t="inlineStr">
        <is>
          <t>Mouse Optico Simples (C)</t>
        </is>
      </c>
      <c r="Q29" s="66" t="n">
        <v>1800</v>
      </c>
      <c r="R29" s="67" t="n">
        <v>1</v>
      </c>
      <c r="S29" s="68" t="n">
        <v>0</v>
      </c>
      <c r="T29" s="69" t="n">
        <v>0</v>
      </c>
      <c r="U29" s="70" t="n">
        <v>1800</v>
      </c>
    </row>
    <row r="30" ht="22" customHeight="1">
      <c r="A30" s="80" t="inlineStr">
        <is>
          <t>TOTAL GERAL</t>
        </is>
      </c>
      <c r="B30" s="81" t="n"/>
      <c r="C30" s="81" t="n"/>
      <c r="D30" s="82">
        <f>SUM(D10:D29)</f>
        <v/>
      </c>
      <c r="E30" s="83" t="n"/>
      <c r="F30" s="84">
        <f>SUM(F10:F29)</f>
        <v/>
      </c>
      <c r="G30" s="85" t="n">
        <v>1</v>
      </c>
      <c r="H30" s="85" t="n">
        <v>1</v>
      </c>
    </row>
    <row r="63" ht="16" customHeight="1">
      <c r="A63" s="16" t="inlineStr">
        <is>
          <t xml:space="preserve">  CURVA ABC REGGAE  |  CURVA ABC — ABA 01  |  One Love, One Data  |  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G2:H2"/>
    <mergeCell ref="C5:D5"/>
    <mergeCell ref="E5:F5"/>
    <mergeCell ref="J1:N1"/>
    <mergeCell ref="A1:H1"/>
    <mergeCell ref="A6:H6"/>
    <mergeCell ref="C4:D4"/>
    <mergeCell ref="E4:F4"/>
    <mergeCell ref="A3:B3"/>
    <mergeCell ref="G3:H3"/>
    <mergeCell ref="A2:B2"/>
    <mergeCell ref="C2:D2"/>
    <mergeCell ref="E2:F2"/>
    <mergeCell ref="A5:B5"/>
    <mergeCell ref="G5:H5"/>
    <mergeCell ref="A30:C30"/>
    <mergeCell ref="A4:B4"/>
    <mergeCell ref="G4:H4"/>
    <mergeCell ref="A63:H63"/>
    <mergeCell ref="C3:D3"/>
    <mergeCell ref="E3:F3"/>
  </mergeCells>
  <conditionalFormatting sqref="A10:H2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990000"/>
    <outlinePr summaryBelow="1" summaryRight="1"/>
    <pageSetUpPr/>
  </sheetPr>
  <dimension ref="A1:U7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0" customWidth="1" min="3" max="3"/>
    <col width="10" customWidth="1" min="4" max="4"/>
    <col width="14" customWidth="1" min="5" max="5"/>
    <col width="16" customWidth="1" min="6" max="6"/>
    <col width="13" customWidth="1" min="7" max="7"/>
    <col width="13" customWidth="1" min="8" max="8"/>
    <col width="2" customWidth="1" min="9" max="9"/>
    <col width="10" customWidth="1" min="10" max="10"/>
    <col width="16" customWidth="1" min="11" max="11"/>
    <col width="10" customWidth="1" min="12" max="12"/>
    <col width="10" customWidth="1" min="13" max="13"/>
    <col width="22" customWidth="1" min="14" max="14"/>
    <col width="30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7" t="inlineStr">
        <is>
          <t>CURVA ABC — ABA 02</t>
        </is>
      </c>
      <c r="I1" s="5" t="n"/>
      <c r="J1" s="18" t="inlineStr">
        <is>
          <t>A = ate 80%   |   B = 80–95%   |   C = 95–100%</t>
        </is>
      </c>
    </row>
    <row r="2" ht="26" customHeight="1">
      <c r="A2" s="19" t="inlineStr">
        <is>
          <t>V.T. TOTAL</t>
        </is>
      </c>
      <c r="B2" s="20" t="n"/>
      <c r="C2" s="21" t="inlineStr">
        <is>
          <t>V.T. CLASSE A</t>
        </is>
      </c>
      <c r="D2" s="20" t="n"/>
      <c r="E2" s="22" t="inlineStr">
        <is>
          <t>% ITENS A</t>
        </is>
      </c>
      <c r="F2" s="20" t="n"/>
      <c r="G2" s="23" t="inlineStr">
        <is>
          <t>MAIOR V.T.</t>
        </is>
      </c>
      <c r="H2" s="24" t="n"/>
    </row>
    <row r="3" ht="26" customHeight="1">
      <c r="A3" s="25">
        <f>SUM($F$10:$F$39)</f>
        <v/>
      </c>
      <c r="B3" s="26" t="n"/>
      <c r="C3" s="27">
        <f>SUMIF($A$10:$A$39,"A",$F$10:$F$39)</f>
        <v/>
      </c>
      <c r="D3" s="26" t="n"/>
      <c r="E3" s="28">
        <f>IFERROR(COUNTIF($A$10:$A$39,"A")/COUNTA($B$10:$B$39),0)</f>
        <v/>
      </c>
      <c r="F3" s="26" t="n"/>
      <c r="G3" s="29">
        <f>MAX($F$10:$F$39)</f>
        <v/>
      </c>
      <c r="H3" s="30" t="n"/>
    </row>
    <row r="4" ht="26" customHeight="1">
      <c r="A4" s="31" t="inlineStr">
        <is>
          <t>MENOR V.T.</t>
        </is>
      </c>
      <c r="B4" s="26" t="n"/>
      <c r="C4" s="32" t="inlineStr">
        <is>
          <t>STATUS</t>
        </is>
      </c>
      <c r="D4" s="26" t="n"/>
      <c r="E4" s="33" t="inlineStr">
        <is>
          <t>LIMITE A</t>
        </is>
      </c>
      <c r="F4" s="26" t="n"/>
      <c r="G4" s="34" t="inlineStr">
        <is>
          <t>LIMITE B</t>
        </is>
      </c>
      <c r="H4" s="30" t="n"/>
    </row>
    <row r="5" ht="26" customHeight="1">
      <c r="A5" s="35">
        <f>MIN($F$10:$F$39)</f>
        <v/>
      </c>
      <c r="B5" s="36" t="n"/>
      <c r="C5" s="37">
        <f>IF(IFERROR(MAX($H$10:$H$39),0)&gt;1.0001,"VERIFICAR","OK")</f>
        <v/>
      </c>
      <c r="D5" s="36" t="n"/>
      <c r="E5" s="38" t="n">
        <v>0.8</v>
      </c>
      <c r="F5" s="36" t="n"/>
      <c r="G5" s="39" t="n">
        <v>0.95</v>
      </c>
      <c r="H5" s="40" t="n"/>
    </row>
    <row r="6" ht="16" customHeight="1">
      <c r="A6" s="41" t="inlineStr">
        <is>
          <t xml:space="preserve">  Edite somente Quant. e Custo Unit. — ABC, V.T. e % recalculam automaticamente.</t>
        </is>
      </c>
    </row>
    <row r="7" ht="20" customHeight="1">
      <c r="J7" s="42" t="inlineStr">
        <is>
          <t>Classe</t>
        </is>
      </c>
      <c r="K7" s="42" t="inlineStr">
        <is>
          <t>Total V.T.</t>
        </is>
      </c>
      <c r="L7" s="42" t="inlineStr">
        <is>
          <t>% Total</t>
        </is>
      </c>
      <c r="M7" s="42" t="inlineStr">
        <is>
          <t>Qtd. Itens</t>
        </is>
      </c>
      <c r="N7" s="42" t="inlineStr">
        <is>
          <t>Barra</t>
        </is>
      </c>
    </row>
    <row r="8" ht="26" customHeight="1">
      <c r="A8" s="43" t="inlineStr">
        <is>
          <t>ABC</t>
        </is>
      </c>
      <c r="B8" s="44" t="inlineStr">
        <is>
          <t>Descricao</t>
        </is>
      </c>
      <c r="C8" s="44" t="inlineStr">
        <is>
          <t>Cod.</t>
        </is>
      </c>
      <c r="D8" s="45" t="inlineStr">
        <is>
          <t>Quant.</t>
        </is>
      </c>
      <c r="E8" s="45" t="inlineStr">
        <is>
          <t>Custo Unit.(R$)</t>
        </is>
      </c>
      <c r="F8" s="43" t="inlineStr">
        <is>
          <t>V.T. (R$)</t>
        </is>
      </c>
      <c r="G8" s="44" t="inlineStr">
        <is>
          <t>% Individual</t>
        </is>
      </c>
      <c r="H8" s="44" t="inlineStr">
        <is>
          <t>% Acumulado</t>
        </is>
      </c>
      <c r="J8" s="46" t="inlineStr">
        <is>
          <t>A</t>
        </is>
      </c>
      <c r="K8" s="47">
        <f>SUMIF($A$10:$A$39,"A",$F$10:$F$39)</f>
        <v/>
      </c>
      <c r="L8" s="48">
        <f>IFERROR(K8/SUM($F$10:$F$39),0)</f>
        <v/>
      </c>
      <c r="M8" s="46">
        <f>COUNTIF($A$10:$A$39,"A")</f>
        <v/>
      </c>
      <c r="N8" s="49">
        <f>REPT(CHAR(9608),ROUND(L8*20,0))</f>
        <v/>
      </c>
      <c r="P8" s="50" t="inlineStr">
        <is>
          <t>Label</t>
        </is>
      </c>
      <c r="Q8" s="50" t="inlineStr">
        <is>
          <t>VT Ord.</t>
        </is>
      </c>
      <c r="R8" s="50" t="inlineStr">
        <is>
          <t>% Acum.</t>
        </is>
      </c>
      <c r="S8" s="50" t="inlineStr">
        <is>
          <t>VT A</t>
        </is>
      </c>
      <c r="T8" s="50" t="inlineStr">
        <is>
          <t>VT B</t>
        </is>
      </c>
      <c r="U8" s="50" t="inlineStr">
        <is>
          <t>VT C</t>
        </is>
      </c>
    </row>
    <row r="9" ht="6" customHeight="1">
      <c r="J9" s="51" t="inlineStr">
        <is>
          <t>B</t>
        </is>
      </c>
      <c r="K9" s="52">
        <f>SUMIF($A$10:$A$39,"B",$F$10:$F$39)</f>
        <v/>
      </c>
      <c r="L9" s="53">
        <f>IFERROR(K9/SUM($F$10:$F$39),0)</f>
        <v/>
      </c>
      <c r="M9" s="51">
        <f>COUNTIF($A$10:$A$39,"B")</f>
        <v/>
      </c>
      <c r="N9" s="54">
        <f>REPT(CHAR(9608),ROUND(L9*20,0))</f>
        <v/>
      </c>
    </row>
    <row r="10" ht="19" customHeight="1">
      <c r="A10" s="46">
        <f>IF($H10&lt;=$E$5,"A",IF($H10&lt;=$G$5,"B","C"))</f>
        <v/>
      </c>
      <c r="B10" s="55" t="inlineStr">
        <is>
          <t>Servidor Rack Dell Pro</t>
        </is>
      </c>
      <c r="C10" s="56" t="n">
        <v>2</v>
      </c>
      <c r="D10" s="57" t="n">
        <v>15</v>
      </c>
      <c r="E10" s="58" t="n">
        <v>22500</v>
      </c>
      <c r="F10" s="59">
        <f>IFERROR(D10*E10,0)</f>
        <v/>
      </c>
      <c r="G10" s="60">
        <f>IFERROR(F10/SUM($F$10:$F$39),0)</f>
        <v/>
      </c>
      <c r="H10" s="60">
        <f>IFERROR(SUMIF($F$10:$F$39,"&gt;="&amp;F10,$F$10:$F$39)/SUM($F$10:$F$39),0)</f>
        <v/>
      </c>
      <c r="J10" s="61" t="inlineStr">
        <is>
          <t>C</t>
        </is>
      </c>
      <c r="K10" s="62">
        <f>SUMIF($A$10:$A$39,"C",$F$10:$F$39)</f>
        <v/>
      </c>
      <c r="L10" s="63">
        <f>IFERROR(K10/SUM($F$10:$F$39),0)</f>
        <v/>
      </c>
      <c r="M10" s="61">
        <f>COUNTIF($A$10:$A$39,"C")</f>
        <v/>
      </c>
      <c r="N10" s="64">
        <f>REPT(CHAR(9608),ROUND(L10*20,0))</f>
        <v/>
      </c>
      <c r="P10" s="65" t="inlineStr">
        <is>
          <t>Servidor Rack Dell P (A)</t>
        </is>
      </c>
      <c r="Q10" s="66" t="n">
        <v>337500</v>
      </c>
      <c r="R10" s="67" t="n">
        <v>0.3249</v>
      </c>
      <c r="S10" s="68" t="n">
        <v>337500</v>
      </c>
      <c r="T10" s="69" t="n">
        <v>0</v>
      </c>
      <c r="U10" s="70" t="n">
        <v>0</v>
      </c>
    </row>
    <row r="11" ht="19" customHeight="1">
      <c r="A11" s="46">
        <f>IF($H11&lt;=$E$5,"A",IF($H11&lt;=$G$5,"B","C"))</f>
        <v/>
      </c>
      <c r="B11" s="55" t="inlineStr">
        <is>
          <t>Workstation Grafica</t>
        </is>
      </c>
      <c r="C11" s="56" t="n">
        <v>17</v>
      </c>
      <c r="D11" s="57" t="n">
        <v>19</v>
      </c>
      <c r="E11" s="58" t="n">
        <v>12000</v>
      </c>
      <c r="F11" s="59">
        <f>IFERROR(D11*E11,0)</f>
        <v/>
      </c>
      <c r="G11" s="60">
        <f>IFERROR(F11/SUM($F$10:$F$39),0)</f>
        <v/>
      </c>
      <c r="H11" s="60">
        <f>IFERROR(SUMIF($F$10:$F$39,"&gt;="&amp;F11,$F$10:$F$39)/SUM($F$10:$F$39),0)</f>
        <v/>
      </c>
      <c r="P11" s="65" t="inlineStr">
        <is>
          <t>Workstation Grafica (A)</t>
        </is>
      </c>
      <c r="Q11" s="66" t="n">
        <v>228000</v>
      </c>
      <c r="R11" s="67" t="n">
        <v>0.5444</v>
      </c>
      <c r="S11" s="68" t="n">
        <v>228000</v>
      </c>
      <c r="T11" s="69" t="n">
        <v>0</v>
      </c>
      <c r="U11" s="70" t="n">
        <v>0</v>
      </c>
    </row>
    <row r="12" ht="19" customHeight="1">
      <c r="A12" s="46">
        <f>IF($H12&lt;=$E$5,"A",IF($H12&lt;=$G$5,"B","C"))</f>
        <v/>
      </c>
      <c r="B12" s="55" t="inlineStr">
        <is>
          <t>Notebook i7 32GB RAM</t>
        </is>
      </c>
      <c r="C12" s="56" t="n">
        <v>10</v>
      </c>
      <c r="D12" s="57" t="n">
        <v>28</v>
      </c>
      <c r="E12" s="58" t="n">
        <v>7200</v>
      </c>
      <c r="F12" s="59">
        <f>IFERROR(D12*E12,0)</f>
        <v/>
      </c>
      <c r="G12" s="60">
        <f>IFERROR(F12/SUM($F$10:$F$39),0)</f>
        <v/>
      </c>
      <c r="H12" s="60">
        <f>IFERROR(SUMIF($F$10:$F$39,"&gt;="&amp;F12,$F$10:$F$39)/SUM($F$10:$F$39),0)</f>
        <v/>
      </c>
      <c r="P12" s="65" t="inlineStr">
        <is>
          <t>Notebook i7 32GB RAM (A)</t>
        </is>
      </c>
      <c r="Q12" s="66" t="n">
        <v>201600</v>
      </c>
      <c r="R12" s="67" t="n">
        <v>0.7383999999999999</v>
      </c>
      <c r="S12" s="68" t="n">
        <v>201600</v>
      </c>
      <c r="T12" s="69" t="n">
        <v>0</v>
      </c>
      <c r="U12" s="70" t="n">
        <v>0</v>
      </c>
    </row>
    <row r="13" ht="19" customHeight="1">
      <c r="A13" s="46">
        <f>IF($H13&lt;=$E$5,"A",IF($H13&lt;=$G$5,"B","C"))</f>
        <v/>
      </c>
      <c r="B13" s="55" t="inlineStr">
        <is>
          <t>Switch Gerenciavel 48p</t>
        </is>
      </c>
      <c r="C13" s="56" t="n">
        <v>8</v>
      </c>
      <c r="D13" s="57" t="n">
        <v>10</v>
      </c>
      <c r="E13" s="58" t="n">
        <v>4800</v>
      </c>
      <c r="F13" s="59">
        <f>IFERROR(D13*E13,0)</f>
        <v/>
      </c>
      <c r="G13" s="60">
        <f>IFERROR(F13/SUM($F$10:$F$39),0)</f>
        <v/>
      </c>
      <c r="H13" s="60">
        <f>IFERROR(SUMIF($F$10:$F$39,"&gt;="&amp;F13,$F$10:$F$39)/SUM($F$10:$F$39),0)</f>
        <v/>
      </c>
      <c r="P13" s="65" t="inlineStr">
        <is>
          <t>Switch Gerenciavel 4 (A)</t>
        </is>
      </c>
      <c r="Q13" s="66" t="n">
        <v>48000</v>
      </c>
      <c r="R13" s="67" t="n">
        <v>0.7846</v>
      </c>
      <c r="S13" s="68" t="n">
        <v>48000</v>
      </c>
      <c r="T13" s="69" t="n">
        <v>0</v>
      </c>
      <c r="U13" s="70" t="n">
        <v>0</v>
      </c>
    </row>
    <row r="14" ht="19" customHeight="1">
      <c r="A14" s="71">
        <f>IF($H14&lt;=$E$5,"A",IF($H14&lt;=$G$5,"B","C"))</f>
        <v/>
      </c>
      <c r="B14" s="72" t="inlineStr">
        <is>
          <t>Placa de Video RTX</t>
        </is>
      </c>
      <c r="C14" s="73" t="n">
        <v>22</v>
      </c>
      <c r="D14" s="57" t="n">
        <v>8</v>
      </c>
      <c r="E14" s="58" t="n">
        <v>5500</v>
      </c>
      <c r="F14" s="74">
        <f>IFERROR(D14*E14,0)</f>
        <v/>
      </c>
      <c r="G14" s="75">
        <f>IFERROR(F14/SUM($F$10:$F$39),0)</f>
        <v/>
      </c>
      <c r="H14" s="75">
        <f>IFERROR(SUMIF($F$10:$F$39,"&gt;="&amp;F14,$F$10:$F$39)/SUM($F$10:$F$39),0)</f>
        <v/>
      </c>
      <c r="P14" s="65" t="inlineStr">
        <is>
          <t>Placa de Video RTX (B)</t>
        </is>
      </c>
      <c r="Q14" s="66" t="n">
        <v>44000</v>
      </c>
      <c r="R14" s="67" t="n">
        <v>0.827</v>
      </c>
      <c r="S14" s="68" t="n">
        <v>0</v>
      </c>
      <c r="T14" s="69" t="n">
        <v>44000</v>
      </c>
      <c r="U14" s="70" t="n">
        <v>0</v>
      </c>
    </row>
    <row r="15" ht="19" customHeight="1">
      <c r="A15" s="71">
        <f>IF($H15&lt;=$E$5,"A",IF($H15&lt;=$G$5,"B","C"))</f>
        <v/>
      </c>
      <c r="B15" s="72" t="inlineStr">
        <is>
          <t>Storage NAS 40TB</t>
        </is>
      </c>
      <c r="C15" s="73" t="n">
        <v>21</v>
      </c>
      <c r="D15" s="57" t="n">
        <v>2</v>
      </c>
      <c r="E15" s="58" t="n">
        <v>18500</v>
      </c>
      <c r="F15" s="74">
        <f>IFERROR(D15*E15,0)</f>
        <v/>
      </c>
      <c r="G15" s="75">
        <f>IFERROR(F15/SUM($F$10:$F$39),0)</f>
        <v/>
      </c>
      <c r="H15" s="75">
        <f>IFERROR(SUMIF($F$10:$F$39,"&gt;="&amp;F15,$F$10:$F$39)/SUM($F$10:$F$39),0)</f>
        <v/>
      </c>
      <c r="P15" s="65" t="inlineStr">
        <is>
          <t>Storage NAS 40TB (B)</t>
        </is>
      </c>
      <c r="Q15" s="66" t="n">
        <v>37000</v>
      </c>
      <c r="R15" s="67" t="n">
        <v>0.8626</v>
      </c>
      <c r="S15" s="68" t="n">
        <v>0</v>
      </c>
      <c r="T15" s="69" t="n">
        <v>37000</v>
      </c>
      <c r="U15" s="70" t="n">
        <v>0</v>
      </c>
    </row>
    <row r="16" ht="19" customHeight="1">
      <c r="A16" s="71">
        <f>IF($H16&lt;=$E$5,"A",IF($H16&lt;=$G$5,"B","C"))</f>
        <v/>
      </c>
      <c r="B16" s="72" t="inlineStr">
        <is>
          <t>Memoria RAM 16GB</t>
        </is>
      </c>
      <c r="C16" s="73" t="n">
        <v>19</v>
      </c>
      <c r="D16" s="57" t="n">
        <v>45</v>
      </c>
      <c r="E16" s="58" t="n">
        <v>380</v>
      </c>
      <c r="F16" s="74">
        <f>IFERROR(D16*E16,0)</f>
        <v/>
      </c>
      <c r="G16" s="75">
        <f>IFERROR(F16/SUM($F$10:$F$39),0)</f>
        <v/>
      </c>
      <c r="H16" s="75">
        <f>IFERROR(SUMIF($F$10:$F$39,"&gt;="&amp;F16,$F$10:$F$39)/SUM($F$10:$F$39),0)</f>
        <v/>
      </c>
      <c r="P16" s="65" t="inlineStr">
        <is>
          <t>Memoria RAM 16GB (B)</t>
        </is>
      </c>
      <c r="Q16" s="66" t="n">
        <v>17100</v>
      </c>
      <c r="R16" s="67" t="n">
        <v>0.8791</v>
      </c>
      <c r="S16" s="68" t="n">
        <v>0</v>
      </c>
      <c r="T16" s="69" t="n">
        <v>17100</v>
      </c>
      <c r="U16" s="70" t="n">
        <v>0</v>
      </c>
    </row>
    <row r="17" ht="19" customHeight="1">
      <c r="A17" s="71">
        <f>IF($H17&lt;=$E$5,"A",IF($H17&lt;=$G$5,"B","C"))</f>
        <v/>
      </c>
      <c r="B17" s="72" t="inlineStr">
        <is>
          <t>Toner Impressora Laser</t>
        </is>
      </c>
      <c r="C17" s="73" t="n">
        <v>12</v>
      </c>
      <c r="D17" s="57" t="n">
        <v>40</v>
      </c>
      <c r="E17" s="58" t="n">
        <v>320</v>
      </c>
      <c r="F17" s="74">
        <f>IFERROR(D17*E17,0)</f>
        <v/>
      </c>
      <c r="G17" s="75">
        <f>IFERROR(F17/SUM($F$10:$F$39),0)</f>
        <v/>
      </c>
      <c r="H17" s="75">
        <f>IFERROR(SUMIF($F$10:$F$39,"&gt;="&amp;F17,$F$10:$F$39)/SUM($F$10:$F$39),0)</f>
        <v/>
      </c>
      <c r="P17" s="65" t="inlineStr">
        <is>
          <t>Toner Impressora Las (B)</t>
        </is>
      </c>
      <c r="Q17" s="66" t="n">
        <v>12800</v>
      </c>
      <c r="R17" s="67" t="n">
        <v>0.8914</v>
      </c>
      <c r="S17" s="68" t="n">
        <v>0</v>
      </c>
      <c r="T17" s="69" t="n">
        <v>12800</v>
      </c>
      <c r="U17" s="70" t="n">
        <v>0</v>
      </c>
    </row>
    <row r="18" ht="19" customHeight="1">
      <c r="A18" s="71">
        <f>IF($H18&lt;=$E$5,"A",IF($H18&lt;=$G$5,"B","C"))</f>
        <v/>
      </c>
      <c r="B18" s="72" t="inlineStr">
        <is>
          <t>Monitor LED 24"</t>
        </is>
      </c>
      <c r="C18" s="73" t="n">
        <v>4</v>
      </c>
      <c r="D18" s="57" t="n">
        <v>15</v>
      </c>
      <c r="E18" s="58" t="n">
        <v>850</v>
      </c>
      <c r="F18" s="74">
        <f>IFERROR(D18*E18,0)</f>
        <v/>
      </c>
      <c r="G18" s="75">
        <f>IFERROR(F18/SUM($F$10:$F$39),0)</f>
        <v/>
      </c>
      <c r="H18" s="75">
        <f>IFERROR(SUMIF($F$10:$F$39,"&gt;="&amp;F18,$F$10:$F$39)/SUM($F$10:$F$39),0)</f>
        <v/>
      </c>
      <c r="P18" s="65" t="inlineStr">
        <is>
          <t>Monitor LED 24" (B)</t>
        </is>
      </c>
      <c r="Q18" s="66" t="n">
        <v>12750</v>
      </c>
      <c r="R18" s="67" t="n">
        <v>0.9036</v>
      </c>
      <c r="S18" s="68" t="n">
        <v>0</v>
      </c>
      <c r="T18" s="69" t="n">
        <v>12750</v>
      </c>
      <c r="U18" s="70" t="n">
        <v>0</v>
      </c>
    </row>
    <row r="19" ht="19" customHeight="1">
      <c r="A19" s="71">
        <f>IF($H19&lt;=$E$5,"A",IF($H19&lt;=$G$5,"B","C"))</f>
        <v/>
      </c>
      <c r="B19" s="72" t="inlineStr">
        <is>
          <t>Roteador Wi-Fi 6</t>
        </is>
      </c>
      <c r="C19" s="73" t="n">
        <v>11</v>
      </c>
      <c r="D19" s="57" t="n">
        <v>25</v>
      </c>
      <c r="E19" s="58" t="n">
        <v>450</v>
      </c>
      <c r="F19" s="74">
        <f>IFERROR(D19*E19,0)</f>
        <v/>
      </c>
      <c r="G19" s="75">
        <f>IFERROR(F19/SUM($F$10:$F$39),0)</f>
        <v/>
      </c>
      <c r="H19" s="75">
        <f>IFERROR(SUMIF($F$10:$F$39,"&gt;="&amp;F19,$F$10:$F$39)/SUM($F$10:$F$39),0)</f>
        <v/>
      </c>
      <c r="P19" s="65" t="inlineStr">
        <is>
          <t>Roteador Wi-Fi 6 (B)</t>
        </is>
      </c>
      <c r="Q19" s="66" t="n">
        <v>11250</v>
      </c>
      <c r="R19" s="67" t="n">
        <v>0.9145</v>
      </c>
      <c r="S19" s="68" t="n">
        <v>0</v>
      </c>
      <c r="T19" s="69" t="n">
        <v>11250</v>
      </c>
      <c r="U19" s="70" t="n">
        <v>0</v>
      </c>
    </row>
    <row r="20" ht="19" customHeight="1">
      <c r="A20" s="71">
        <f>IF($H20&lt;=$E$5,"A",IF($H20&lt;=$G$5,"B","C"))</f>
        <v/>
      </c>
      <c r="B20" s="72" t="inlineStr">
        <is>
          <t>SSD 480GB Sata</t>
        </is>
      </c>
      <c r="C20" s="73" t="n">
        <v>15</v>
      </c>
      <c r="D20" s="57" t="n">
        <v>55</v>
      </c>
      <c r="E20" s="58" t="n">
        <v>190</v>
      </c>
      <c r="F20" s="74">
        <f>IFERROR(D20*E20,0)</f>
        <v/>
      </c>
      <c r="G20" s="75">
        <f>IFERROR(F20/SUM($F$10:$F$39),0)</f>
        <v/>
      </c>
      <c r="H20" s="75">
        <f>IFERROR(SUMIF($F$10:$F$39,"&gt;="&amp;F20,$F$10:$F$39)/SUM($F$10:$F$39),0)</f>
        <v/>
      </c>
      <c r="P20" s="65" t="inlineStr">
        <is>
          <t>SSD 480GB Sata (B)</t>
        </is>
      </c>
      <c r="Q20" s="66" t="n">
        <v>10450</v>
      </c>
      <c r="R20" s="67" t="n">
        <v>0.9245</v>
      </c>
      <c r="S20" s="68" t="n">
        <v>0</v>
      </c>
      <c r="T20" s="69" t="n">
        <v>10450</v>
      </c>
      <c r="U20" s="70" t="n">
        <v>0</v>
      </c>
    </row>
    <row r="21" ht="19" customHeight="1">
      <c r="A21" s="71">
        <f>IF($H21&lt;=$E$5,"A",IF($H21&lt;=$G$5,"B","C"))</f>
        <v/>
      </c>
      <c r="B21" s="72" t="inlineStr">
        <is>
          <t>Nobreak 1500VA</t>
        </is>
      </c>
      <c r="C21" s="73" t="n">
        <v>6</v>
      </c>
      <c r="D21" s="57" t="n">
        <v>8</v>
      </c>
      <c r="E21" s="58" t="n">
        <v>1200</v>
      </c>
      <c r="F21" s="74">
        <f>IFERROR(D21*E21,0)</f>
        <v/>
      </c>
      <c r="G21" s="75">
        <f>IFERROR(F21/SUM($F$10:$F$39),0)</f>
        <v/>
      </c>
      <c r="H21" s="75">
        <f>IFERROR(SUMIF($F$10:$F$39,"&gt;="&amp;F21,$F$10:$F$39)/SUM($F$10:$F$39),0)</f>
        <v/>
      </c>
      <c r="P21" s="65" t="inlineStr">
        <is>
          <t>Nobreak 1500VA (B)</t>
        </is>
      </c>
      <c r="Q21" s="66" t="n">
        <v>9600</v>
      </c>
      <c r="R21" s="67" t="n">
        <v>0.9338</v>
      </c>
      <c r="S21" s="68" t="n">
        <v>0</v>
      </c>
      <c r="T21" s="69" t="n">
        <v>9600</v>
      </c>
      <c r="U21" s="70" t="n">
        <v>0</v>
      </c>
    </row>
    <row r="22" ht="19" customHeight="1">
      <c r="A22" s="71">
        <f>IF($H22&lt;=$E$5,"A",IF($H22&lt;=$G$5,"B","C"))</f>
        <v/>
      </c>
      <c r="B22" s="72" t="inlineStr">
        <is>
          <t>HD Externo 2TB</t>
        </is>
      </c>
      <c r="C22" s="73" t="n">
        <v>20</v>
      </c>
      <c r="D22" s="57" t="n">
        <v>18</v>
      </c>
      <c r="E22" s="58" t="n">
        <v>420</v>
      </c>
      <c r="F22" s="74">
        <f>IFERROR(D22*E22,0)</f>
        <v/>
      </c>
      <c r="G22" s="75">
        <f>IFERROR(F22/SUM($F$10:$F$39),0)</f>
        <v/>
      </c>
      <c r="H22" s="75">
        <f>IFERROR(SUMIF($F$10:$F$39,"&gt;="&amp;F22,$F$10:$F$39)/SUM($F$10:$F$39),0)</f>
        <v/>
      </c>
      <c r="P22" s="65" t="inlineStr">
        <is>
          <t>HD Externo 2TB (B)</t>
        </is>
      </c>
      <c r="Q22" s="66" t="n">
        <v>7560</v>
      </c>
      <c r="R22" s="67" t="n">
        <v>0.9411</v>
      </c>
      <c r="S22" s="68" t="n">
        <v>0</v>
      </c>
      <c r="T22" s="69" t="n">
        <v>7560</v>
      </c>
      <c r="U22" s="70" t="n">
        <v>0</v>
      </c>
    </row>
    <row r="23" ht="19" customHeight="1">
      <c r="A23" s="71">
        <f>IF($H23&lt;=$E$5,"A",IF($H23&lt;=$G$5,"B","C"))</f>
        <v/>
      </c>
      <c r="B23" s="72" t="inlineStr">
        <is>
          <t>Teclado Mecanico RGB</t>
        </is>
      </c>
      <c r="C23" s="73" t="n">
        <v>5</v>
      </c>
      <c r="D23" s="57" t="n">
        <v>30</v>
      </c>
      <c r="E23" s="58" t="n">
        <v>250</v>
      </c>
      <c r="F23" s="74">
        <f>IFERROR(D23*E23,0)</f>
        <v/>
      </c>
      <c r="G23" s="75">
        <f>IFERROR(F23/SUM($F$10:$F$39),0)</f>
        <v/>
      </c>
      <c r="H23" s="75">
        <f>IFERROR(SUMIF($F$10:$F$39,"&gt;="&amp;F23,$F$10:$F$39)/SUM($F$10:$F$39),0)</f>
        <v/>
      </c>
      <c r="P23" s="65" t="inlineStr">
        <is>
          <t>Teclado Mecanico RGB (B)</t>
        </is>
      </c>
      <c r="Q23" s="66" t="n">
        <v>7500</v>
      </c>
      <c r="R23" s="67" t="n">
        <v>0.9483</v>
      </c>
      <c r="S23" s="68" t="n">
        <v>0</v>
      </c>
      <c r="T23" s="69" t="n">
        <v>7500</v>
      </c>
      <c r="U23" s="70" t="n">
        <v>0</v>
      </c>
    </row>
    <row r="24" ht="19" customHeight="1">
      <c r="A24" s="61">
        <f>IF($H24&lt;=$E$5,"A",IF($H24&lt;=$G$5,"B","C"))</f>
        <v/>
      </c>
      <c r="B24" s="76" t="inlineStr">
        <is>
          <t>Pen Drive 64GB</t>
        </is>
      </c>
      <c r="C24" s="77" t="n">
        <v>9</v>
      </c>
      <c r="D24" s="57" t="n">
        <v>150</v>
      </c>
      <c r="E24" s="58" t="n">
        <v>45</v>
      </c>
      <c r="F24" s="78">
        <f>IFERROR(D24*E24,0)</f>
        <v/>
      </c>
      <c r="G24" s="79">
        <f>IFERROR(F24/SUM($F$10:$F$39),0)</f>
        <v/>
      </c>
      <c r="H24" s="79">
        <f>IFERROR(SUMIF($F$10:$F$39,"&gt;="&amp;F24,$F$10:$F$39)/SUM($F$10:$F$39),0)</f>
        <v/>
      </c>
      <c r="P24" s="65" t="inlineStr">
        <is>
          <t>Pen Drive 64GB (C)</t>
        </is>
      </c>
      <c r="Q24" s="66" t="n">
        <v>6750</v>
      </c>
      <c r="R24" s="67" t="n">
        <v>0.9548</v>
      </c>
      <c r="S24" s="68" t="n">
        <v>0</v>
      </c>
      <c r="T24" s="69" t="n">
        <v>0</v>
      </c>
      <c r="U24" s="70" t="n">
        <v>6750</v>
      </c>
    </row>
    <row r="25" ht="19" customHeight="1">
      <c r="A25" s="61">
        <f>IF($H25&lt;=$E$5,"A",IF($H25&lt;=$G$5,"B","C"))</f>
        <v/>
      </c>
      <c r="B25" s="76" t="inlineStr">
        <is>
          <t>Headset com Microfone</t>
        </is>
      </c>
      <c r="C25" s="77" t="n">
        <v>13</v>
      </c>
      <c r="D25" s="57" t="n">
        <v>60</v>
      </c>
      <c r="E25" s="58" t="n">
        <v>110</v>
      </c>
      <c r="F25" s="78">
        <f>IFERROR(D25*E25,0)</f>
        <v/>
      </c>
      <c r="G25" s="79">
        <f>IFERROR(F25/SUM($F$10:$F$39),0)</f>
        <v/>
      </c>
      <c r="H25" s="79">
        <f>IFERROR(SUMIF($F$10:$F$39,"&gt;="&amp;F25,$F$10:$F$39)/SUM($F$10:$F$39),0)</f>
        <v/>
      </c>
      <c r="P25" s="65" t="inlineStr">
        <is>
          <t>Headset com Microfon (C)</t>
        </is>
      </c>
      <c r="Q25" s="66" t="n">
        <v>6600</v>
      </c>
      <c r="R25" s="67" t="n">
        <v>0.9611</v>
      </c>
      <c r="S25" s="68" t="n">
        <v>0</v>
      </c>
      <c r="T25" s="69" t="n">
        <v>0</v>
      </c>
      <c r="U25" s="70" t="n">
        <v>6600</v>
      </c>
    </row>
    <row r="26" ht="19" customHeight="1">
      <c r="A26" s="61">
        <f>IF($H26&lt;=$E$5,"A",IF($H26&lt;=$G$5,"B","C"))</f>
        <v/>
      </c>
      <c r="B26" s="76" t="inlineStr">
        <is>
          <t>Pacote de Papel A4</t>
        </is>
      </c>
      <c r="C26" s="77" t="n">
        <v>7</v>
      </c>
      <c r="D26" s="57" t="n">
        <v>200</v>
      </c>
      <c r="E26" s="58" t="n">
        <v>28</v>
      </c>
      <c r="F26" s="78">
        <f>IFERROR(D26*E26,0)</f>
        <v/>
      </c>
      <c r="G26" s="79">
        <f>IFERROR(F26/SUM($F$10:$F$39),0)</f>
        <v/>
      </c>
      <c r="H26" s="79">
        <f>IFERROR(SUMIF($F$10:$F$39,"&gt;="&amp;F26,$F$10:$F$39)/SUM($F$10:$F$39),0)</f>
        <v/>
      </c>
      <c r="P26" s="65" t="inlineStr">
        <is>
          <t>Pacote de Papel A4 (C)</t>
        </is>
      </c>
      <c r="Q26" s="66" t="n">
        <v>5600</v>
      </c>
      <c r="R26" s="67" t="n">
        <v>0.9665</v>
      </c>
      <c r="S26" s="68" t="n">
        <v>0</v>
      </c>
      <c r="T26" s="69" t="n">
        <v>0</v>
      </c>
      <c r="U26" s="70" t="n">
        <v>5600</v>
      </c>
    </row>
    <row r="27" ht="19" customHeight="1">
      <c r="A27" s="61">
        <f>IF($H27&lt;=$E$5,"A",IF($H27&lt;=$G$5,"B","C"))</f>
        <v/>
      </c>
      <c r="B27" s="76" t="inlineStr">
        <is>
          <t>Teclado de Entrada</t>
        </is>
      </c>
      <c r="C27" s="77" t="n">
        <v>29</v>
      </c>
      <c r="D27" s="57" t="n">
        <v>100</v>
      </c>
      <c r="E27" s="58" t="n">
        <v>45</v>
      </c>
      <c r="F27" s="78">
        <f>IFERROR(D27*E27,0)</f>
        <v/>
      </c>
      <c r="G27" s="79">
        <f>IFERROR(F27/SUM($F$10:$F$39),0)</f>
        <v/>
      </c>
      <c r="H27" s="79">
        <f>IFERROR(SUMIF($F$10:$F$39,"&gt;="&amp;F27,$F$10:$F$39)/SUM($F$10:$F$39),0)</f>
        <v/>
      </c>
      <c r="P27" s="65" t="inlineStr">
        <is>
          <t>Teclado de Entrada (C)</t>
        </is>
      </c>
      <c r="Q27" s="66" t="n">
        <v>4500</v>
      </c>
      <c r="R27" s="67" t="n">
        <v>0.9708</v>
      </c>
      <c r="S27" s="68" t="n">
        <v>0</v>
      </c>
      <c r="T27" s="69" t="n">
        <v>0</v>
      </c>
      <c r="U27" s="70" t="n">
        <v>4500</v>
      </c>
    </row>
    <row r="28" ht="19" customHeight="1">
      <c r="A28" s="61">
        <f>IF($H28&lt;=$E$5,"A",IF($H28&lt;=$G$5,"B","C"))</f>
        <v/>
      </c>
      <c r="B28" s="76" t="inlineStr">
        <is>
          <t>Filtro de Linha</t>
        </is>
      </c>
      <c r="C28" s="77" t="n">
        <v>18</v>
      </c>
      <c r="D28" s="57" t="n">
        <v>110</v>
      </c>
      <c r="E28" s="58" t="n">
        <v>40</v>
      </c>
      <c r="F28" s="78">
        <f>IFERROR(D28*E28,0)</f>
        <v/>
      </c>
      <c r="G28" s="79">
        <f>IFERROR(F28/SUM($F$10:$F$39),0)</f>
        <v/>
      </c>
      <c r="H28" s="79">
        <f>IFERROR(SUMIF($F$10:$F$39,"&gt;="&amp;F28,$F$10:$F$39)/SUM($F$10:$F$39),0)</f>
        <v/>
      </c>
      <c r="P28" s="65" t="inlineStr">
        <is>
          <t>Filtro de Linha (C)</t>
        </is>
      </c>
      <c r="Q28" s="66" t="n">
        <v>4400</v>
      </c>
      <c r="R28" s="67" t="n">
        <v>0.9751</v>
      </c>
      <c r="S28" s="68" t="n">
        <v>0</v>
      </c>
      <c r="T28" s="69" t="n">
        <v>0</v>
      </c>
      <c r="U28" s="70" t="n">
        <v>4400</v>
      </c>
    </row>
    <row r="29" ht="19" customHeight="1">
      <c r="A29" s="61">
        <f>IF($H29&lt;=$E$5,"A",IF($H29&lt;=$G$5,"B","C"))</f>
        <v/>
      </c>
      <c r="B29" s="76" t="inlineStr">
        <is>
          <t>Webcam Full HD</t>
        </is>
      </c>
      <c r="C29" s="77" t="n">
        <v>14</v>
      </c>
      <c r="D29" s="57" t="n">
        <v>22</v>
      </c>
      <c r="E29" s="58" t="n">
        <v>180</v>
      </c>
      <c r="F29" s="78">
        <f>IFERROR(D29*E29,0)</f>
        <v/>
      </c>
      <c r="G29" s="79">
        <f>IFERROR(F29/SUM($F$10:$F$39),0)</f>
        <v/>
      </c>
      <c r="H29" s="79">
        <f>IFERROR(SUMIF($F$10:$F$39,"&gt;="&amp;F29,$F$10:$F$39)/SUM($F$10:$F$39),0)</f>
        <v/>
      </c>
      <c r="P29" s="65" t="inlineStr">
        <is>
          <t>Webcam Full HD (C)</t>
        </is>
      </c>
      <c r="Q29" s="66" t="n">
        <v>3960</v>
      </c>
      <c r="R29" s="67" t="n">
        <v>0.9789</v>
      </c>
      <c r="S29" s="68" t="n">
        <v>0</v>
      </c>
      <c r="T29" s="69" t="n">
        <v>0</v>
      </c>
      <c r="U29" s="70" t="n">
        <v>3960</v>
      </c>
    </row>
    <row r="30" ht="19" customHeight="1">
      <c r="A30" s="61">
        <f>IF($H30&lt;=$E$5,"A",IF($H30&lt;=$G$5,"B","C"))</f>
        <v/>
      </c>
      <c r="B30" s="76" t="inlineStr">
        <is>
          <t>Pilhas AA (Pacote)</t>
        </is>
      </c>
      <c r="C30" s="77" t="n">
        <v>23</v>
      </c>
      <c r="D30" s="57" t="n">
        <v>300</v>
      </c>
      <c r="E30" s="58" t="n">
        <v>12</v>
      </c>
      <c r="F30" s="78">
        <f>IFERROR(D30*E30,0)</f>
        <v/>
      </c>
      <c r="G30" s="79">
        <f>IFERROR(F30/SUM($F$10:$F$39),0)</f>
        <v/>
      </c>
      <c r="H30" s="79">
        <f>IFERROR(SUMIF($F$10:$F$39,"&gt;="&amp;F30,$F$10:$F$39)/SUM($F$10:$F$39),0)</f>
        <v/>
      </c>
      <c r="P30" s="65" t="inlineStr">
        <is>
          <t>Pilhas AA (Pacote) (C)</t>
        </is>
      </c>
      <c r="Q30" s="66" t="n">
        <v>3600</v>
      </c>
      <c r="R30" s="67" t="n">
        <v>0.9824000000000001</v>
      </c>
      <c r="S30" s="68" t="n">
        <v>0</v>
      </c>
      <c r="T30" s="69" t="n">
        <v>0</v>
      </c>
      <c r="U30" s="70" t="n">
        <v>3600</v>
      </c>
    </row>
    <row r="31" ht="19" customHeight="1">
      <c r="A31" s="61">
        <f>IF($H31&lt;=$E$5,"A",IF($H31&lt;=$G$5,"B","C"))</f>
        <v/>
      </c>
      <c r="B31" s="76" t="inlineStr">
        <is>
          <t>Adaptador USB-C</t>
        </is>
      </c>
      <c r="C31" s="77" t="n">
        <v>16</v>
      </c>
      <c r="D31" s="57" t="n">
        <v>90</v>
      </c>
      <c r="E31" s="58" t="n">
        <v>35</v>
      </c>
      <c r="F31" s="78">
        <f>IFERROR(D31*E31,0)</f>
        <v/>
      </c>
      <c r="G31" s="79">
        <f>IFERROR(F31/SUM($F$10:$F$39),0)</f>
        <v/>
      </c>
      <c r="H31" s="79">
        <f>IFERROR(SUMIF($F$10:$F$39,"&gt;="&amp;F31,$F$10:$F$39)/SUM($F$10:$F$39),0)</f>
        <v/>
      </c>
      <c r="P31" s="65" t="inlineStr">
        <is>
          <t>Adaptador USB-C (C)</t>
        </is>
      </c>
      <c r="Q31" s="66" t="n">
        <v>3150</v>
      </c>
      <c r="R31" s="67" t="n">
        <v>0.9854000000000001</v>
      </c>
      <c r="S31" s="68" t="n">
        <v>0</v>
      </c>
      <c r="T31" s="69" t="n">
        <v>0</v>
      </c>
      <c r="U31" s="70" t="n">
        <v>3150</v>
      </c>
    </row>
    <row r="32" ht="19" customHeight="1">
      <c r="A32" s="61">
        <f>IF($H32&lt;=$E$5,"A",IF($H32&lt;=$G$5,"B","C"))</f>
        <v/>
      </c>
      <c r="B32" s="76" t="inlineStr">
        <is>
          <t>Suporte para Monitor</t>
        </is>
      </c>
      <c r="C32" s="77" t="n">
        <v>28</v>
      </c>
      <c r="D32" s="57" t="n">
        <v>20</v>
      </c>
      <c r="E32" s="58" t="n">
        <v>140</v>
      </c>
      <c r="F32" s="78">
        <f>IFERROR(D32*E32,0)</f>
        <v/>
      </c>
      <c r="G32" s="79">
        <f>IFERROR(F32/SUM($F$10:$F$39),0)</f>
        <v/>
      </c>
      <c r="H32" s="79">
        <f>IFERROR(SUMIF($F$10:$F$39,"&gt;="&amp;F32,$F$10:$F$39)/SUM($F$10:$F$39),0)</f>
        <v/>
      </c>
      <c r="P32" s="65" t="inlineStr">
        <is>
          <t>Suporte para Monitor (C)</t>
        </is>
      </c>
      <c r="Q32" s="66" t="n">
        <v>2800</v>
      </c>
      <c r="R32" s="67" t="n">
        <v>0.9881</v>
      </c>
      <c r="S32" s="68" t="n">
        <v>0</v>
      </c>
      <c r="T32" s="69" t="n">
        <v>0</v>
      </c>
      <c r="U32" s="70" t="n">
        <v>2800</v>
      </c>
    </row>
    <row r="33" ht="19" customHeight="1">
      <c r="A33" s="61">
        <f>IF($H33&lt;=$E$5,"A",IF($H33&lt;=$G$5,"B","C"))</f>
        <v/>
      </c>
      <c r="B33" s="76" t="inlineStr">
        <is>
          <t>Cabo HDMI 2m</t>
        </is>
      </c>
      <c r="C33" s="77" t="n">
        <v>1</v>
      </c>
      <c r="D33" s="57" t="n">
        <v>85</v>
      </c>
      <c r="E33" s="58" t="n">
        <v>25</v>
      </c>
      <c r="F33" s="78">
        <f>IFERROR(D33*E33,0)</f>
        <v/>
      </c>
      <c r="G33" s="79">
        <f>IFERROR(F33/SUM($F$10:$F$39),0)</f>
        <v/>
      </c>
      <c r="H33" s="79">
        <f>IFERROR(SUMIF($F$10:$F$39,"&gt;="&amp;F33,$F$10:$F$39)/SUM($F$10:$F$39),0)</f>
        <v/>
      </c>
      <c r="P33" s="65" t="inlineStr">
        <is>
          <t>Cabo HDMI 2m (C)</t>
        </is>
      </c>
      <c r="Q33" s="66" t="n">
        <v>2125</v>
      </c>
      <c r="R33" s="67" t="n">
        <v>0.9901</v>
      </c>
      <c r="S33" s="68" t="n">
        <v>0</v>
      </c>
      <c r="T33" s="69" t="n">
        <v>0</v>
      </c>
      <c r="U33" s="70" t="n">
        <v>2125</v>
      </c>
    </row>
    <row r="34" ht="19" customHeight="1">
      <c r="A34" s="61">
        <f>IF($H34&lt;=$E$5,"A",IF($H34&lt;=$G$5,"B","C"))</f>
        <v/>
      </c>
      <c r="B34" s="76" t="inlineStr">
        <is>
          <t>Mousepad Simples</t>
        </is>
      </c>
      <c r="C34" s="77" t="n">
        <v>24</v>
      </c>
      <c r="D34" s="57" t="n">
        <v>250</v>
      </c>
      <c r="E34" s="58" t="n">
        <v>8</v>
      </c>
      <c r="F34" s="78">
        <f>IFERROR(D34*E34,0)</f>
        <v/>
      </c>
      <c r="G34" s="79">
        <f>IFERROR(F34/SUM($F$10:$F$39),0)</f>
        <v/>
      </c>
      <c r="H34" s="79">
        <f>IFERROR(SUMIF($F$10:$F$39,"&gt;="&amp;F34,$F$10:$F$39)/SUM($F$10:$F$39),0)</f>
        <v/>
      </c>
      <c r="P34" s="65" t="inlineStr">
        <is>
          <t>Mousepad Simples (C)</t>
        </is>
      </c>
      <c r="Q34" s="66" t="n">
        <v>2000</v>
      </c>
      <c r="R34" s="67" t="n">
        <v>0.9921</v>
      </c>
      <c r="S34" s="68" t="n">
        <v>0</v>
      </c>
      <c r="T34" s="69" t="n">
        <v>0</v>
      </c>
      <c r="U34" s="70" t="n">
        <v>2000</v>
      </c>
    </row>
    <row r="35" ht="19" customHeight="1">
      <c r="A35" s="61">
        <f>IF($H35&lt;=$E$5,"A",IF($H35&lt;=$G$5,"B","C"))</f>
        <v/>
      </c>
      <c r="B35" s="76" t="inlineStr">
        <is>
          <t>Mouse Optico Simples</t>
        </is>
      </c>
      <c r="C35" s="77" t="n">
        <v>3</v>
      </c>
      <c r="D35" s="57" t="n">
        <v>120</v>
      </c>
      <c r="E35" s="58" t="n">
        <v>15</v>
      </c>
      <c r="F35" s="78">
        <f>IFERROR(D35*E35,0)</f>
        <v/>
      </c>
      <c r="G35" s="79">
        <f>IFERROR(F35/SUM($F$10:$F$39),0)</f>
        <v/>
      </c>
      <c r="H35" s="79">
        <f>IFERROR(SUMIF($F$10:$F$39,"&gt;="&amp;F35,$F$10:$F$39)/SUM($F$10:$F$39),0)</f>
        <v/>
      </c>
      <c r="P35" s="65" t="inlineStr">
        <is>
          <t>Mouse Optico Simples (C)</t>
        </is>
      </c>
      <c r="Q35" s="66" t="n">
        <v>1800</v>
      </c>
      <c r="R35" s="67" t="n">
        <v>0.9938</v>
      </c>
      <c r="S35" s="68" t="n">
        <v>0</v>
      </c>
      <c r="T35" s="69" t="n">
        <v>0</v>
      </c>
      <c r="U35" s="70" t="n">
        <v>1800</v>
      </c>
    </row>
    <row r="36" ht="19" customHeight="1">
      <c r="A36" s="61">
        <f>IF($H36&lt;=$E$5,"A",IF($H36&lt;=$G$5,"B","C"))</f>
        <v/>
      </c>
      <c r="B36" s="76" t="inlineStr">
        <is>
          <t>Organizador de Cabos</t>
        </is>
      </c>
      <c r="C36" s="77" t="n">
        <v>25</v>
      </c>
      <c r="D36" s="57" t="n">
        <v>180</v>
      </c>
      <c r="E36" s="58" t="n">
        <v>10</v>
      </c>
      <c r="F36" s="78">
        <f>IFERROR(D36*E36,0)</f>
        <v/>
      </c>
      <c r="G36" s="79">
        <f>IFERROR(F36/SUM($F$10:$F$39),0)</f>
        <v/>
      </c>
      <c r="H36" s="79">
        <f>IFERROR(SUMIF($F$10:$F$39,"&gt;="&amp;F36,$F$10:$F$39)/SUM($F$10:$F$39),0)</f>
        <v/>
      </c>
      <c r="P36" s="65" t="inlineStr">
        <is>
          <t>Organizador de Cabos (C)</t>
        </is>
      </c>
      <c r="Q36" s="66" t="n">
        <v>1800</v>
      </c>
      <c r="R36" s="67" t="n">
        <v>0.9955000000000001</v>
      </c>
      <c r="S36" s="68" t="n">
        <v>0</v>
      </c>
      <c r="T36" s="69" t="n">
        <v>0</v>
      </c>
      <c r="U36" s="70" t="n">
        <v>1800</v>
      </c>
    </row>
    <row r="37" ht="19" customHeight="1">
      <c r="A37" s="61">
        <f>IF($H37&lt;=$E$5,"A",IF($H37&lt;=$G$5,"B","C"))</f>
        <v/>
      </c>
      <c r="B37" s="76" t="inlineStr">
        <is>
          <t>Ar comprimido (Lata)</t>
        </is>
      </c>
      <c r="C37" s="77" t="n">
        <v>27</v>
      </c>
      <c r="D37" s="57" t="n">
        <v>35</v>
      </c>
      <c r="E37" s="58" t="n">
        <v>45</v>
      </c>
      <c r="F37" s="78">
        <f>IFERROR(D37*E37,0)</f>
        <v/>
      </c>
      <c r="G37" s="79">
        <f>IFERROR(F37/SUM($F$10:$F$39),0)</f>
        <v/>
      </c>
      <c r="H37" s="79">
        <f>IFERROR(SUMIF($F$10:$F$39,"&gt;="&amp;F37,$F$10:$F$39)/SUM($F$10:$F$39),0)</f>
        <v/>
      </c>
      <c r="P37" s="65" t="inlineStr">
        <is>
          <t>Ar comprimido (Lata) (C)</t>
        </is>
      </c>
      <c r="Q37" s="66" t="n">
        <v>1575</v>
      </c>
      <c r="R37" s="67" t="n">
        <v>0.997</v>
      </c>
      <c r="S37" s="68" t="n">
        <v>0</v>
      </c>
      <c r="T37" s="69" t="n">
        <v>0</v>
      </c>
      <c r="U37" s="70" t="n">
        <v>1575</v>
      </c>
    </row>
    <row r="38" ht="19" customHeight="1">
      <c r="A38" s="61">
        <f>IF($H38&lt;=$E$5,"A",IF($H38&lt;=$G$5,"B","C"))</f>
        <v/>
      </c>
      <c r="B38" s="76" t="inlineStr">
        <is>
          <t>Pasta Termica</t>
        </is>
      </c>
      <c r="C38" s="77" t="n">
        <v>26</v>
      </c>
      <c r="D38" s="57" t="n">
        <v>45</v>
      </c>
      <c r="E38" s="58" t="n">
        <v>35</v>
      </c>
      <c r="F38" s="78">
        <f>IFERROR(D38*E38,0)</f>
        <v/>
      </c>
      <c r="G38" s="79">
        <f>IFERROR(F38/SUM($F$10:$F$39),0)</f>
        <v/>
      </c>
      <c r="H38" s="79">
        <f>IFERROR(SUMIF($F$10:$F$39,"&gt;="&amp;F38,$F$10:$F$39)/SUM($F$10:$F$39),0)</f>
        <v/>
      </c>
      <c r="P38" s="65" t="inlineStr">
        <is>
          <t>Pasta Termica (C)</t>
        </is>
      </c>
      <c r="Q38" s="66" t="n">
        <v>1575</v>
      </c>
      <c r="R38" s="67" t="n">
        <v>0.9986</v>
      </c>
      <c r="S38" s="68" t="n">
        <v>0</v>
      </c>
      <c r="T38" s="69" t="n">
        <v>0</v>
      </c>
      <c r="U38" s="70" t="n">
        <v>1575</v>
      </c>
    </row>
    <row r="39" ht="19" customHeight="1">
      <c r="A39" s="61">
        <f>IF($H39&lt;=$E$5,"A",IF($H39&lt;=$G$5,"B","C"))</f>
        <v/>
      </c>
      <c r="B39" s="76" t="inlineStr">
        <is>
          <t>Conector RJ45 (Cento)</t>
        </is>
      </c>
      <c r="C39" s="77" t="n">
        <v>30</v>
      </c>
      <c r="D39" s="57" t="n">
        <v>50</v>
      </c>
      <c r="E39" s="58" t="n">
        <v>30</v>
      </c>
      <c r="F39" s="78">
        <f>IFERROR(D39*E39,0)</f>
        <v/>
      </c>
      <c r="G39" s="79">
        <f>IFERROR(F39/SUM($F$10:$F$39),0)</f>
        <v/>
      </c>
      <c r="H39" s="79">
        <f>IFERROR(SUMIF($F$10:$F$39,"&gt;="&amp;F39,$F$10:$F$39)/SUM($F$10:$F$39),0)</f>
        <v/>
      </c>
      <c r="P39" s="65" t="inlineStr">
        <is>
          <t>Conector RJ45 (Cento (C)</t>
        </is>
      </c>
      <c r="Q39" s="66" t="n">
        <v>1500</v>
      </c>
      <c r="R39" s="67" t="n">
        <v>1</v>
      </c>
      <c r="S39" s="68" t="n">
        <v>0</v>
      </c>
      <c r="T39" s="69" t="n">
        <v>0</v>
      </c>
      <c r="U39" s="70" t="n">
        <v>1500</v>
      </c>
    </row>
    <row r="40" ht="22" customHeight="1">
      <c r="A40" s="80" t="inlineStr">
        <is>
          <t>TOTAL GERAL</t>
        </is>
      </c>
      <c r="B40" s="81" t="n"/>
      <c r="C40" s="81" t="n"/>
      <c r="D40" s="82">
        <f>SUM(D10:D39)</f>
        <v/>
      </c>
      <c r="E40" s="83" t="n"/>
      <c r="F40" s="84">
        <f>SUM(F10:F39)</f>
        <v/>
      </c>
      <c r="G40" s="85" t="n">
        <v>1</v>
      </c>
      <c r="H40" s="85" t="n">
        <v>1</v>
      </c>
    </row>
    <row r="73" ht="16" customHeight="1">
      <c r="A73" s="16" t="inlineStr">
        <is>
          <t xml:space="preserve">  CURVA ABC REGGAE  |  CURVA ABC — ABA 02  |  One Love, One Data  |  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G2:H2"/>
    <mergeCell ref="A73:H73"/>
    <mergeCell ref="C5:D5"/>
    <mergeCell ref="E5:F5"/>
    <mergeCell ref="J1:N1"/>
    <mergeCell ref="A1:H1"/>
    <mergeCell ref="A6:H6"/>
    <mergeCell ref="C4:D4"/>
    <mergeCell ref="E4:F4"/>
    <mergeCell ref="A3:B3"/>
    <mergeCell ref="G3:H3"/>
    <mergeCell ref="A2:B2"/>
    <mergeCell ref="C2:D2"/>
    <mergeCell ref="E2:F2"/>
    <mergeCell ref="A5:B5"/>
    <mergeCell ref="G5:H5"/>
    <mergeCell ref="A40:C40"/>
    <mergeCell ref="A4:B4"/>
    <mergeCell ref="G4:H4"/>
    <mergeCell ref="C3:D3"/>
    <mergeCell ref="E3:F3"/>
  </mergeCells>
  <conditionalFormatting sqref="A10:H3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</dc:title>
  <dc:subject>Analise de Estoque ABC - Reggae</dc:subject>
  <dcterms:created xsi:type="dcterms:W3CDTF">2026-05-14T03:42:37Z</dcterms:created>
  <dcterms:modified xsi:type="dcterms:W3CDTF">2026-05-14T03:42:37Z</dcterms:modified>
</cp:coreProperties>
</file>