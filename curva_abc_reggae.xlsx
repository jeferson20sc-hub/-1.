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🟢 Primeira" sheetId="1" state="visible" r:id="rId1"/>
    <sheet name="🟡 01" sheetId="2" state="visible" r:id="rId2"/>
    <sheet name="🔴 02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R$ #,##0.00"/>
    <numFmt numFmtId="165" formatCode="0.0%"/>
    <numFmt numFmtId="166" formatCode="R$ #,##0"/>
  </numFmts>
  <fonts count="22">
    <font>
      <name val="Calibri"/>
      <family val="2"/>
      <color theme="1"/>
      <sz val="11"/>
      <scheme val="minor"/>
    </font>
    <font>
      <name val="Calibri"/>
      <b val="1"/>
      <color rgb="00009B3A"/>
      <sz val="20"/>
    </font>
    <font>
      <name val="Calibri"/>
      <color rgb="00FFD700"/>
      <sz val="10"/>
    </font>
    <font>
      <name val="Calibri"/>
      <b val="1"/>
      <color rgb="00FFFFFF"/>
      <sz val="9"/>
    </font>
    <font>
      <name val="Calibri"/>
      <b val="1"/>
      <color rgb="00FFFFFF"/>
      <sz val="14"/>
    </font>
    <font>
      <name val="Calibri"/>
      <b val="1"/>
      <color rgb="00000000"/>
      <sz val="9"/>
    </font>
    <font>
      <name val="Calibri"/>
      <b val="1"/>
      <color rgb="00FFFFFF"/>
      <sz val="10"/>
    </font>
    <font>
      <name val="Calibri"/>
      <b val="1"/>
      <color rgb="00000000"/>
      <sz val="14"/>
    </font>
    <font>
      <name val="Calibri"/>
      <b val="1"/>
      <color rgb="00000000"/>
      <sz val="10"/>
    </font>
    <font>
      <name val="Calibri"/>
      <i val="1"/>
      <color rgb="00C8F5DB"/>
      <sz val="8"/>
    </font>
    <font>
      <name val="Calibri"/>
      <b val="1"/>
      <color rgb="00FFFFFF"/>
      <sz val="13"/>
    </font>
    <font>
      <name val="Calibri"/>
      <b val="1"/>
      <color rgb="00000000"/>
      <sz val="13"/>
    </font>
    <font>
      <name val="Calibri"/>
      <b val="1"/>
      <color rgb="00009B3A"/>
      <sz val="10"/>
    </font>
    <font>
      <name val="Calibri"/>
      <b val="1"/>
      <color rgb="00FFD700"/>
      <sz val="10"/>
    </font>
    <font>
      <name val="Calibri"/>
      <b val="1"/>
      <color rgb="00B0B0B0"/>
      <sz val="7"/>
    </font>
    <font>
      <name val="Calibri"/>
      <b val="1"/>
      <color rgb="00FFFFFF"/>
      <sz val="12"/>
    </font>
    <font>
      <name val="Calibri"/>
      <color rgb="00000000"/>
      <sz val="9"/>
    </font>
    <font>
      <name val="Calibri"/>
      <color rgb="00000000"/>
      <sz val="10"/>
    </font>
    <font>
      <name val="Calibri"/>
      <b val="1"/>
      <color rgb="00000000"/>
      <sz val="12"/>
    </font>
    <font>
      <name val="Calibri"/>
      <color rgb="00B0B0B0"/>
      <sz val="7"/>
    </font>
    <font>
      <name val="Calibri"/>
      <b val="1"/>
      <color rgb="00FFD700"/>
      <sz val="11"/>
    </font>
    <font>
      <name val="Calibri"/>
      <b val="1"/>
      <color rgb="00FFFFFF"/>
      <sz val="11"/>
    </font>
  </fonts>
  <fills count="14">
    <fill>
      <patternFill/>
    </fill>
    <fill>
      <patternFill patternType="gray125"/>
    </fill>
    <fill>
      <patternFill patternType="solid"/>
    </fill>
    <fill>
      <patternFill patternType="solid">
        <fgColor rgb="00009B3A"/>
      </patternFill>
    </fill>
    <fill>
      <patternFill patternType="solid">
        <fgColor rgb="00FFD700"/>
      </patternFill>
    </fill>
    <fill>
      <patternFill patternType="solid">
        <fgColor rgb="00CC0000"/>
      </patternFill>
    </fill>
    <fill>
      <patternFill patternType="solid">
        <fgColor rgb="001A1A1A"/>
      </patternFill>
    </fill>
    <fill>
      <patternFill patternType="solid">
        <fgColor rgb="00006B28"/>
      </patternFill>
    </fill>
    <fill>
      <patternFill patternType="solid">
        <fgColor rgb="00C8A400"/>
      </patternFill>
    </fill>
    <fill>
      <patternFill patternType="solid">
        <fgColor rgb="00990000"/>
      </patternFill>
    </fill>
    <fill>
      <patternFill patternType="solid">
        <fgColor rgb="00C8F5DB"/>
      </patternFill>
    </fill>
    <fill>
      <patternFill patternType="solid">
        <fgColor rgb="00FFFFFF"/>
      </patternFill>
    </fill>
    <fill>
      <patternFill patternType="solid">
        <fgColor rgb="00FFF5B0"/>
      </patternFill>
    </fill>
    <fill>
      <patternFill patternType="solid">
        <fgColor rgb="00FFD0D0"/>
      </patternFill>
    </fill>
  </fills>
  <borders count="15">
    <border>
      <left/>
      <right/>
      <top/>
      <bottom/>
      <diagonal/>
    </border>
    <border>
      <left style="medium">
        <color rgb="00009B3A"/>
      </left>
      <right style="thin">
        <color rgb="00009B3A"/>
      </right>
      <top style="medium">
        <color rgb="00009B3A"/>
      </top>
      <bottom style="thin">
        <color rgb="00009B3A"/>
      </bottom>
    </border>
    <border>
      <left style="thin">
        <color rgb="00009B3A"/>
      </left>
      <right style="thin">
        <color rgb="00009B3A"/>
      </right>
      <top style="medium">
        <color rgb="00009B3A"/>
      </top>
      <bottom style="thin">
        <color rgb="00009B3A"/>
      </bottom>
    </border>
    <border>
      <left style="thin">
        <color rgb="00009B3A"/>
      </left>
      <right style="medium">
        <color rgb="00009B3A"/>
      </right>
      <top style="medium">
        <color rgb="00009B3A"/>
      </top>
      <bottom style="thin">
        <color rgb="00009B3A"/>
      </bottom>
    </border>
    <border>
      <left style="medium">
        <color rgb="00009B3A"/>
      </left>
      <right style="thin">
        <color rgb="00009B3A"/>
      </right>
      <top style="thin">
        <color rgb="00009B3A"/>
      </top>
      <bottom style="thin">
        <color rgb="00009B3A"/>
      </bottom>
    </border>
    <border>
      <left style="thin">
        <color rgb="00009B3A"/>
      </left>
      <right style="thin">
        <color rgb="00009B3A"/>
      </right>
      <top style="thin">
        <color rgb="00009B3A"/>
      </top>
      <bottom style="thin">
        <color rgb="00009B3A"/>
      </bottom>
    </border>
    <border>
      <left style="thin">
        <color rgb="00009B3A"/>
      </left>
      <right style="medium">
        <color rgb="00009B3A"/>
      </right>
      <top style="thin">
        <color rgb="00009B3A"/>
      </top>
      <bottom style="thin">
        <color rgb="00009B3A"/>
      </bottom>
    </border>
    <border>
      <left style="medium">
        <color rgb="00009B3A"/>
      </left>
      <right style="thin">
        <color rgb="00009B3A"/>
      </right>
      <top style="thin">
        <color rgb="00009B3A"/>
      </top>
      <bottom style="medium">
        <color rgb="00009B3A"/>
      </bottom>
    </border>
    <border>
      <left style="thin">
        <color rgb="00009B3A"/>
      </left>
      <right style="thin">
        <color rgb="00009B3A"/>
      </right>
      <top style="thin">
        <color rgb="00009B3A"/>
      </top>
      <bottom style="medium">
        <color rgb="00009B3A"/>
      </bottom>
    </border>
    <border>
      <left style="thin">
        <color rgb="00009B3A"/>
      </left>
      <right style="medium">
        <color rgb="00009B3A"/>
      </right>
      <top style="thin">
        <color rgb="00009B3A"/>
      </top>
      <bottom style="medium">
        <color rgb="00009B3A"/>
      </bottom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006B28"/>
      </left>
      <right style="thin">
        <color rgb="00006B28"/>
      </right>
      <top style="thin">
        <color rgb="00006B28"/>
      </top>
      <bottom style="thin">
        <color rgb="00006B28"/>
      </bottom>
    </border>
    <border>
      <left style="medium">
        <color rgb="00006B28"/>
      </left>
      <right style="medium">
        <color rgb="00006B28"/>
      </right>
      <top style="thin">
        <color rgb="00E8E8E8"/>
      </top>
      <bottom style="thin">
        <color rgb="00E8E8E8"/>
      </bottom>
    </border>
    <border>
      <left style="thin">
        <color rgb="00009B3A"/>
      </left>
      <right style="thin">
        <color rgb="00009B3A"/>
      </right>
      <top style="medium">
        <color rgb="00009B3A"/>
      </top>
      <bottom style="medium">
        <color rgb="00009B3A"/>
      </bottom>
    </border>
  </borders>
  <cellStyleXfs count="1">
    <xf numFmtId="0" fontId="0" fillId="0" borderId="0"/>
  </cellStyleXfs>
  <cellXfs count="7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2" borderId="0" pivotButton="0" quotePrefix="0" xfId="0"/>
    <xf numFmtId="0" fontId="3" fillId="6" borderId="1" applyAlignment="1" pivotButton="0" quotePrefix="0" xfId="0">
      <alignment horizontal="center" vertical="center"/>
    </xf>
    <xf numFmtId="0" fontId="0" fillId="0" borderId="2" pivotButton="0" quotePrefix="0" xfId="0"/>
    <xf numFmtId="0" fontId="3" fillId="6" borderId="2" applyAlignment="1" pivotButton="0" quotePrefix="0" xfId="0">
      <alignment horizontal="center" vertical="center"/>
    </xf>
    <xf numFmtId="0" fontId="5" fillId="6" borderId="2" applyAlignment="1" pivotButton="0" quotePrefix="0" xfId="0">
      <alignment horizontal="center" vertical="center"/>
    </xf>
    <xf numFmtId="0" fontId="0" fillId="6" borderId="3" pivotButton="0" quotePrefix="0" xfId="0"/>
    <xf numFmtId="164" fontId="4" fillId="7" borderId="4" applyAlignment="1" pivotButton="0" quotePrefix="0" xfId="0">
      <alignment horizontal="center" vertical="center"/>
    </xf>
    <xf numFmtId="0" fontId="0" fillId="0" borderId="5" pivotButton="0" quotePrefix="0" xfId="0"/>
    <xf numFmtId="164" fontId="4" fillId="3" borderId="5" applyAlignment="1" pivotButton="0" quotePrefix="0" xfId="0">
      <alignment horizontal="center" vertical="center"/>
    </xf>
    <xf numFmtId="164" fontId="4" fillId="8" borderId="5" applyAlignment="1" pivotButton="0" quotePrefix="0" xfId="0">
      <alignment horizontal="center" vertical="center"/>
    </xf>
    <xf numFmtId="164" fontId="4" fillId="9" borderId="5" applyAlignment="1" pivotButton="0" quotePrefix="0" xfId="0">
      <alignment horizontal="center" vertical="center"/>
    </xf>
    <xf numFmtId="0" fontId="0" fillId="6" borderId="6" pivotButton="0" quotePrefix="0" xfId="0"/>
    <xf numFmtId="0" fontId="3" fillId="6" borderId="4" applyAlignment="1" pivotButton="0" quotePrefix="0" xfId="0">
      <alignment horizontal="center" vertical="center"/>
    </xf>
    <xf numFmtId="0" fontId="3" fillId="6" borderId="5" applyAlignment="1" pivotButton="0" quotePrefix="0" xfId="0">
      <alignment horizontal="center" vertical="center"/>
    </xf>
    <xf numFmtId="0" fontId="4" fillId="7" borderId="7" applyAlignment="1" pivotButton="0" quotePrefix="0" xfId="0">
      <alignment horizontal="center" vertical="center"/>
    </xf>
    <xf numFmtId="0" fontId="0" fillId="0" borderId="8" pivotButton="0" quotePrefix="0" xfId="0"/>
    <xf numFmtId="165" fontId="4" fillId="3" borderId="8" applyAlignment="1" pivotButton="0" quotePrefix="0" xfId="0">
      <alignment horizontal="center" vertical="center"/>
    </xf>
    <xf numFmtId="164" fontId="4" fillId="9" borderId="8" applyAlignment="1" pivotButton="0" quotePrefix="0" xfId="0">
      <alignment horizontal="center" vertical="center"/>
    </xf>
    <xf numFmtId="0" fontId="4" fillId="7" borderId="8" applyAlignment="1" pivotButton="0" quotePrefix="0" xfId="0">
      <alignment horizontal="center" vertical="center"/>
    </xf>
    <xf numFmtId="0" fontId="0" fillId="6" borderId="9" pivotButton="0" quotePrefix="0" xfId="0"/>
    <xf numFmtId="0" fontId="9" fillId="7" borderId="0" applyAlignment="1" pivotButton="0" quotePrefix="0" xfId="0">
      <alignment horizontal="left" vertical="center"/>
    </xf>
    <xf numFmtId="0" fontId="3" fillId="2" borderId="10" applyAlignment="1" pivotButton="0" quotePrefix="0" xfId="0">
      <alignment horizontal="center" vertical="center"/>
    </xf>
    <xf numFmtId="0" fontId="3" fillId="7" borderId="0" applyAlignment="1" pivotButton="0" quotePrefix="0" xfId="0">
      <alignment horizontal="right" vertical="center"/>
    </xf>
    <xf numFmtId="9" fontId="10" fillId="3" borderId="0" applyAlignment="1" applyProtection="1" pivotButton="0" quotePrefix="0" xfId="0">
      <alignment horizontal="center" vertical="center"/>
      <protection locked="0" hidden="0"/>
    </xf>
    <xf numFmtId="0" fontId="4" fillId="3" borderId="11" applyAlignment="1" pivotButton="0" quotePrefix="0" xfId="0">
      <alignment horizontal="center" vertical="center"/>
    </xf>
    <xf numFmtId="166" fontId="6" fillId="3" borderId="11" applyAlignment="1" pivotButton="0" quotePrefix="0" xfId="0">
      <alignment horizontal="center" vertical="center"/>
    </xf>
    <xf numFmtId="165" fontId="6" fillId="3" borderId="11" applyAlignment="1" pivotButton="0" quotePrefix="0" xfId="0">
      <alignment horizontal="center" vertical="center"/>
    </xf>
    <xf numFmtId="0" fontId="6" fillId="3" borderId="11" applyAlignment="1" pivotButton="0" quotePrefix="0" xfId="0">
      <alignment horizontal="center" vertical="center"/>
    </xf>
    <xf numFmtId="0" fontId="5" fillId="8" borderId="0" applyAlignment="1" pivotButton="0" quotePrefix="0" xfId="0">
      <alignment horizontal="right" vertical="center"/>
    </xf>
    <xf numFmtId="9" fontId="11" fillId="4" borderId="0" applyAlignment="1" applyProtection="1" pivotButton="0" quotePrefix="0" xfId="0">
      <alignment horizontal="center" vertical="center"/>
      <protection locked="0" hidden="0"/>
    </xf>
    <xf numFmtId="0" fontId="7" fillId="8" borderId="11" applyAlignment="1" pivotButton="0" quotePrefix="0" xfId="0">
      <alignment horizontal="center" vertical="center"/>
    </xf>
    <xf numFmtId="166" fontId="8" fillId="8" borderId="11" applyAlignment="1" pivotButton="0" quotePrefix="0" xfId="0">
      <alignment horizontal="center" vertical="center"/>
    </xf>
    <xf numFmtId="165" fontId="8" fillId="8" borderId="11" applyAlignment="1" pivotButton="0" quotePrefix="0" xfId="0">
      <alignment horizontal="center" vertical="center"/>
    </xf>
    <xf numFmtId="0" fontId="8" fillId="8" borderId="11" applyAlignment="1" pivotButton="0" quotePrefix="0" xfId="0">
      <alignment horizontal="center" vertical="center"/>
    </xf>
    <xf numFmtId="0" fontId="12" fillId="2" borderId="12" applyAlignment="1" pivotButton="0" quotePrefix="0" xfId="0">
      <alignment horizontal="center" vertical="center"/>
    </xf>
    <xf numFmtId="0" fontId="6" fillId="2" borderId="12" applyAlignment="1" pivotButton="0" quotePrefix="0" xfId="0">
      <alignment horizontal="center" vertical="center"/>
    </xf>
    <xf numFmtId="0" fontId="6" fillId="2" borderId="12" applyAlignment="1" pivotButton="0" quotePrefix="0" xfId="0">
      <alignment horizontal="center" vertical="center" wrapText="1"/>
    </xf>
    <xf numFmtId="0" fontId="13" fillId="2" borderId="12" applyAlignment="1" pivotButton="0" quotePrefix="0" xfId="0">
      <alignment horizontal="center" vertical="center"/>
    </xf>
    <xf numFmtId="0" fontId="4" fillId="9" borderId="11" applyAlignment="1" pivotButton="0" quotePrefix="0" xfId="0">
      <alignment horizontal="center" vertical="center"/>
    </xf>
    <xf numFmtId="166" fontId="6" fillId="9" borderId="11" applyAlignment="1" pivotButton="0" quotePrefix="0" xfId="0">
      <alignment horizontal="center" vertical="center"/>
    </xf>
    <xf numFmtId="165" fontId="6" fillId="9" borderId="11" applyAlignment="1" pivotButton="0" quotePrefix="0" xfId="0">
      <alignment horizontal="center" vertical="center"/>
    </xf>
    <xf numFmtId="0" fontId="6" fillId="9" borderId="11" applyAlignment="1" pivotButton="0" quotePrefix="0" xfId="0">
      <alignment horizontal="center" vertical="center"/>
    </xf>
    <xf numFmtId="0" fontId="14" fillId="6" borderId="0" applyAlignment="1" pivotButton="0" quotePrefix="0" xfId="0">
      <alignment horizontal="center" vertical="center"/>
    </xf>
    <xf numFmtId="0" fontId="15" fillId="3" borderId="11" applyAlignment="1" pivotButton="0" quotePrefix="0" xfId="0">
      <alignment horizontal="center" vertical="center"/>
    </xf>
    <xf numFmtId="0" fontId="16" fillId="10" borderId="10" applyAlignment="1" pivotButton="0" quotePrefix="0" xfId="0">
      <alignment horizontal="center" vertical="center"/>
    </xf>
    <xf numFmtId="0" fontId="17" fillId="10" borderId="10" applyAlignment="1" pivotButton="0" quotePrefix="0" xfId="0">
      <alignment horizontal="left" vertical="center"/>
    </xf>
    <xf numFmtId="3" fontId="8" fillId="11" borderId="13" applyAlignment="1" applyProtection="1" pivotButton="0" quotePrefix="0" xfId="0">
      <alignment horizontal="center" vertical="center"/>
      <protection locked="0" hidden="0"/>
    </xf>
    <xf numFmtId="164" fontId="8" fillId="11" borderId="13" applyAlignment="1" applyProtection="1" pivotButton="0" quotePrefix="0" xfId="0">
      <alignment horizontal="right" vertical="center"/>
      <protection locked="0" hidden="0"/>
    </xf>
    <xf numFmtId="164" fontId="8" fillId="10" borderId="10" applyAlignment="1" pivotButton="0" quotePrefix="0" xfId="0">
      <alignment horizontal="right" vertical="center"/>
    </xf>
    <xf numFmtId="10" fontId="17" fillId="10" borderId="10" applyAlignment="1" pivotButton="0" quotePrefix="0" xfId="0">
      <alignment horizontal="center" vertical="center"/>
    </xf>
    <xf numFmtId="0" fontId="19" fillId="6" borderId="0" applyAlignment="1" pivotButton="0" quotePrefix="0" xfId="0">
      <alignment horizontal="left" vertical="center"/>
    </xf>
    <xf numFmtId="10" fontId="19" fillId="6" borderId="0" pivotButton="0" quotePrefix="0" xfId="0"/>
    <xf numFmtId="0" fontId="19" fillId="7" borderId="0" pivotButton="0" quotePrefix="0" xfId="0"/>
    <xf numFmtId="0" fontId="19" fillId="8" borderId="0" pivotButton="0" quotePrefix="0" xfId="0"/>
    <xf numFmtId="0" fontId="19" fillId="9" borderId="0" pivotButton="0" quotePrefix="0" xfId="0"/>
    <xf numFmtId="0" fontId="18" fillId="8" borderId="11" applyAlignment="1" pivotButton="0" quotePrefix="0" xfId="0">
      <alignment horizontal="center" vertical="center"/>
    </xf>
    <xf numFmtId="0" fontId="16" fillId="12" borderId="10" applyAlignment="1" pivotButton="0" quotePrefix="0" xfId="0">
      <alignment horizontal="center" vertical="center"/>
    </xf>
    <xf numFmtId="0" fontId="17" fillId="12" borderId="10" applyAlignment="1" pivotButton="0" quotePrefix="0" xfId="0">
      <alignment horizontal="left" vertical="center"/>
    </xf>
    <xf numFmtId="164" fontId="8" fillId="12" borderId="10" applyAlignment="1" pivotButton="0" quotePrefix="0" xfId="0">
      <alignment horizontal="right" vertical="center"/>
    </xf>
    <xf numFmtId="10" fontId="17" fillId="12" borderId="10" applyAlignment="1" pivotButton="0" quotePrefix="0" xfId="0">
      <alignment horizontal="center" vertical="center"/>
    </xf>
    <xf numFmtId="0" fontId="15" fillId="9" borderId="11" applyAlignment="1" pivotButton="0" quotePrefix="0" xfId="0">
      <alignment horizontal="center" vertical="center"/>
    </xf>
    <xf numFmtId="0" fontId="16" fillId="13" borderId="10" applyAlignment="1" pivotButton="0" quotePrefix="0" xfId="0">
      <alignment horizontal="center" vertical="center"/>
    </xf>
    <xf numFmtId="0" fontId="17" fillId="13" borderId="10" applyAlignment="1" pivotButton="0" quotePrefix="0" xfId="0">
      <alignment horizontal="left" vertical="center"/>
    </xf>
    <xf numFmtId="164" fontId="8" fillId="13" borderId="10" applyAlignment="1" pivotButton="0" quotePrefix="0" xfId="0">
      <alignment horizontal="right" vertical="center"/>
    </xf>
    <xf numFmtId="10" fontId="17" fillId="13" borderId="10" applyAlignment="1" pivotButton="0" quotePrefix="0" xfId="0">
      <alignment horizontal="center" vertical="center"/>
    </xf>
    <xf numFmtId="0" fontId="20" fillId="2" borderId="14" applyAlignment="1" pivotButton="0" quotePrefix="0" xfId="0">
      <alignment horizontal="center" vertical="center"/>
    </xf>
    <xf numFmtId="0" fontId="0" fillId="0" borderId="14" pivotButton="0" quotePrefix="0" xfId="0"/>
    <xf numFmtId="3" fontId="21" fillId="2" borderId="14" applyAlignment="1" pivotButton="0" quotePrefix="0" xfId="0">
      <alignment horizontal="center" vertical="center"/>
    </xf>
    <xf numFmtId="0" fontId="0" fillId="2" borderId="14" pivotButton="0" quotePrefix="0" xfId="0"/>
    <xf numFmtId="164" fontId="21" fillId="3" borderId="14" applyAlignment="1" pivotButton="0" quotePrefix="0" xfId="0">
      <alignment horizontal="right" vertical="center"/>
    </xf>
    <xf numFmtId="9" fontId="21" fillId="2" borderId="14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ont>
        <color rgb="00000000"/>
      </font>
      <fill>
        <patternFill patternType="solid">
          <fgColor rgb="00C8F5DB"/>
        </patternFill>
      </fill>
    </dxf>
    <dxf>
      <font>
        <color rgb="00000000"/>
      </font>
      <fill>
        <patternFill patternType="solid">
          <fgColor rgb="00FFF5B0"/>
        </patternFill>
      </fill>
    </dxf>
    <dxf>
      <font>
        <color rgb="00000000"/>
      </font>
      <fill>
        <patternFill patternType="solid">
          <fgColor rgb="00FFD0D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🇯🇲 CURVA ABC REGGAE — PRIMEIRA — Curva de Pareto &amp; Classificação ABC</a:t>
            </a:r>
          </a:p>
        </rich>
      </tx>
    </title>
    <plotArea>
      <areaChart>
        <grouping val="stacked"/>
        <ser>
          <idx val="0"/>
          <order val="0"/>
          <tx>
            <v>🟢 Zona A (≤80%)</v>
          </tx>
          <spPr>
            <a:solidFill>
              <a:srgbClr val="ADEBAD"/>
            </a:solidFill>
            <a:ln w="5000">
              <a:solidFill>
                <a:srgbClr val="009B3A"/>
              </a:solidFill>
              <a:prstDash val="solid"/>
            </a:ln>
          </spPr>
          <cat>
            <numRef>
              <f>'🟢 Primeira'!$P$12:$P$21</f>
            </numRef>
          </cat>
          <val>
            <numRef>
              <f>'🟢 Primeira'!$S$12:$S$21</f>
            </numRef>
          </val>
        </ser>
        <ser>
          <idx val="1"/>
          <order val="1"/>
          <tx>
            <v>🟡 Zona B (80-95%)</v>
          </tx>
          <spPr>
            <a:solidFill>
              <a:srgbClr val="FFE87C"/>
            </a:solidFill>
            <a:ln w="5000">
              <a:solidFill>
                <a:srgbClr val="C8A400"/>
              </a:solidFill>
              <a:prstDash val="solid"/>
            </a:ln>
          </spPr>
          <cat>
            <numRef>
              <f>'🟢 Primeira'!$P$12:$P$21</f>
            </numRef>
          </cat>
          <val>
            <numRef>
              <f>'🟢 Primeira'!$T$12:$T$21</f>
            </numRef>
          </val>
        </ser>
        <ser>
          <idx val="2"/>
          <order val="2"/>
          <tx>
            <v>🔴 Zona C (95-100%)</v>
          </tx>
          <spPr>
            <a:solidFill>
              <a:srgbClr val="FFAD99"/>
            </a:solidFill>
            <a:ln w="5000">
              <a:solidFill>
                <a:srgbClr val="990000"/>
              </a:solidFill>
              <a:prstDash val="solid"/>
            </a:ln>
          </spPr>
          <cat>
            <numRef>
              <f>'🟢 Primeira'!$P$12:$P$21</f>
            </numRef>
          </cat>
          <val>
            <numRef>
              <f>'🟢 Primeira'!$U$12:$U$21</f>
            </numRef>
          </val>
        </ser>
        <axId val="10"/>
        <axId val="100"/>
      </areaChart>
      <barChart>
        <barDir val="col"/>
        <grouping val="clustered"/>
        <ser>
          <idx val="3"/>
          <order val="3"/>
          <tx>
            <v>📊 % Individual por Produto</v>
          </tx>
          <spPr>
            <a:solidFill>
              <a:srgbClr val="2E75B6"/>
            </a:solidFill>
            <a:ln w="8000">
              <a:solidFill>
                <a:srgbClr val="1A4E8A"/>
              </a:solidFill>
              <a:prstDash val="solid"/>
            </a:ln>
          </spPr>
          <cat>
            <numRef>
              <f>'🟢 Primeira'!$P$12:$P$21</f>
            </numRef>
          </cat>
          <val>
            <numRef>
              <f>'🟢 Primeira'!$Q$12:$Q$21</f>
            </numRef>
          </val>
        </ser>
        <dLbls>
          <numFmt formatCode="0.0%"/>
          <showVal val="1"/>
          <showCatName val="0"/>
          <showSerName val="0"/>
        </dLbls>
        <gapWidth val="150"/>
        <axId val="10"/>
        <axId val="100"/>
      </barChart>
      <lineChart>
        <grouping val="standard"/>
        <ser>
          <idx val="4"/>
          <order val="4"/>
          <tx>
            <v>📈 % Acumulado (Curva Pareto)</v>
          </tx>
          <spPr>
            <a:ln w="30000">
              <a:solidFill>
                <a:srgbClr val="990000"/>
              </a:solidFill>
              <a:prstDash val="solid"/>
            </a:ln>
          </spPr>
          <marker>
            <symbol val="circle"/>
            <size val="5"/>
            <spPr>
              <a:solidFill>
                <a:srgbClr val="CC0000"/>
              </a:solidFill>
              <a:ln>
                <a:solidFill>
                  <a:srgbClr val="990000"/>
                </a:solidFill>
                <a:prstDash val="solid"/>
              </a:ln>
            </spPr>
          </marker>
          <cat>
            <numRef>
              <f>'🟢 Primeira'!$P$12:$P$21</f>
            </numRef>
          </cat>
          <val>
            <numRef>
              <f>'🟢 Primeira'!$R$12:$R$21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Produtos (ordenados por V.T. decrescente)</a:t>
                </a:r>
              </a:p>
            </rich>
          </tx>
        </title>
        <numFmt formatCode="General" sourceLinked="0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do Valor Total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🇯🇲 CURVA ABC REGGAE — ABA 01 — Curva de Pareto &amp; Classificação ABC</a:t>
            </a:r>
          </a:p>
        </rich>
      </tx>
    </title>
    <plotArea>
      <areaChart>
        <grouping val="stacked"/>
        <ser>
          <idx val="0"/>
          <order val="0"/>
          <tx>
            <v>🟢 Zona A (≤80%)</v>
          </tx>
          <spPr>
            <a:solidFill>
              <a:srgbClr val="ADEBAD"/>
            </a:solidFill>
            <a:ln w="5000">
              <a:solidFill>
                <a:srgbClr val="009B3A"/>
              </a:solidFill>
              <a:prstDash val="solid"/>
            </a:ln>
          </spPr>
          <cat>
            <numRef>
              <f>'🟡 01'!$P$12:$P$31</f>
            </numRef>
          </cat>
          <val>
            <numRef>
              <f>'🟡 01'!$S$12:$S$31</f>
            </numRef>
          </val>
        </ser>
        <ser>
          <idx val="1"/>
          <order val="1"/>
          <tx>
            <v>🟡 Zona B (80-95%)</v>
          </tx>
          <spPr>
            <a:solidFill>
              <a:srgbClr val="FFE87C"/>
            </a:solidFill>
            <a:ln w="5000">
              <a:solidFill>
                <a:srgbClr val="C8A400"/>
              </a:solidFill>
              <a:prstDash val="solid"/>
            </a:ln>
          </spPr>
          <cat>
            <numRef>
              <f>'🟡 01'!$P$12:$P$31</f>
            </numRef>
          </cat>
          <val>
            <numRef>
              <f>'🟡 01'!$T$12:$T$31</f>
            </numRef>
          </val>
        </ser>
        <ser>
          <idx val="2"/>
          <order val="2"/>
          <tx>
            <v>🔴 Zona C (95-100%)</v>
          </tx>
          <spPr>
            <a:solidFill>
              <a:srgbClr val="FFAD99"/>
            </a:solidFill>
            <a:ln w="5000">
              <a:solidFill>
                <a:srgbClr val="990000"/>
              </a:solidFill>
              <a:prstDash val="solid"/>
            </a:ln>
          </spPr>
          <cat>
            <numRef>
              <f>'🟡 01'!$P$12:$P$31</f>
            </numRef>
          </cat>
          <val>
            <numRef>
              <f>'🟡 01'!$U$12:$U$31</f>
            </numRef>
          </val>
        </ser>
        <axId val="10"/>
        <axId val="100"/>
      </areaChart>
      <barChart>
        <barDir val="col"/>
        <grouping val="clustered"/>
        <ser>
          <idx val="3"/>
          <order val="3"/>
          <tx>
            <v>📊 % Individual por Produto</v>
          </tx>
          <spPr>
            <a:solidFill>
              <a:srgbClr val="2E75B6"/>
            </a:solidFill>
            <a:ln w="8000">
              <a:solidFill>
                <a:srgbClr val="1A4E8A"/>
              </a:solidFill>
              <a:prstDash val="solid"/>
            </a:ln>
          </spPr>
          <cat>
            <numRef>
              <f>'🟡 01'!$P$12:$P$31</f>
            </numRef>
          </cat>
          <val>
            <numRef>
              <f>'🟡 01'!$Q$12:$Q$31</f>
            </numRef>
          </val>
        </ser>
        <dLbls>
          <numFmt formatCode="0.0%"/>
          <showVal val="1"/>
          <showCatName val="0"/>
          <showSerName val="0"/>
        </dLbls>
        <gapWidth val="150"/>
        <axId val="10"/>
        <axId val="100"/>
      </barChart>
      <lineChart>
        <grouping val="standard"/>
        <ser>
          <idx val="4"/>
          <order val="4"/>
          <tx>
            <v>📈 % Acumulado (Curva Pareto)</v>
          </tx>
          <spPr>
            <a:ln w="30000">
              <a:solidFill>
                <a:srgbClr val="990000"/>
              </a:solidFill>
              <a:prstDash val="solid"/>
            </a:ln>
          </spPr>
          <marker>
            <symbol val="circle"/>
            <size val="5"/>
            <spPr>
              <a:solidFill>
                <a:srgbClr val="CC0000"/>
              </a:solidFill>
              <a:ln>
                <a:solidFill>
                  <a:srgbClr val="990000"/>
                </a:solidFill>
                <a:prstDash val="solid"/>
              </a:ln>
            </spPr>
          </marker>
          <cat>
            <numRef>
              <f>'🟡 01'!$P$12:$P$31</f>
            </numRef>
          </cat>
          <val>
            <numRef>
              <f>'🟡 01'!$R$12:$R$31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Produtos (ordenados por V.T. decrescente)</a:t>
                </a:r>
              </a:p>
            </rich>
          </tx>
        </title>
        <numFmt formatCode="General" sourceLinked="0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do Valor Total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🇯🇲 CURVA ABC REGGAE — ABA 02 — Curva de Pareto &amp; Classificação ABC</a:t>
            </a:r>
          </a:p>
        </rich>
      </tx>
    </title>
    <plotArea>
      <areaChart>
        <grouping val="stacked"/>
        <ser>
          <idx val="0"/>
          <order val="0"/>
          <tx>
            <v>🟢 Zona A (≤80%)</v>
          </tx>
          <spPr>
            <a:solidFill>
              <a:srgbClr val="ADEBAD"/>
            </a:solidFill>
            <a:ln w="5000">
              <a:solidFill>
                <a:srgbClr val="009B3A"/>
              </a:solidFill>
              <a:prstDash val="solid"/>
            </a:ln>
          </spPr>
          <cat>
            <numRef>
              <f>'🔴 02'!$P$12:$P$41</f>
            </numRef>
          </cat>
          <val>
            <numRef>
              <f>'🔴 02'!$S$12:$S$41</f>
            </numRef>
          </val>
        </ser>
        <ser>
          <idx val="1"/>
          <order val="1"/>
          <tx>
            <v>🟡 Zona B (80-95%)</v>
          </tx>
          <spPr>
            <a:solidFill>
              <a:srgbClr val="FFE87C"/>
            </a:solidFill>
            <a:ln w="5000">
              <a:solidFill>
                <a:srgbClr val="C8A400"/>
              </a:solidFill>
              <a:prstDash val="solid"/>
            </a:ln>
          </spPr>
          <cat>
            <numRef>
              <f>'🔴 02'!$P$12:$P$41</f>
            </numRef>
          </cat>
          <val>
            <numRef>
              <f>'🔴 02'!$T$12:$T$41</f>
            </numRef>
          </val>
        </ser>
        <ser>
          <idx val="2"/>
          <order val="2"/>
          <tx>
            <v>🔴 Zona C (95-100%)</v>
          </tx>
          <spPr>
            <a:solidFill>
              <a:srgbClr val="FFAD99"/>
            </a:solidFill>
            <a:ln w="5000">
              <a:solidFill>
                <a:srgbClr val="990000"/>
              </a:solidFill>
              <a:prstDash val="solid"/>
            </a:ln>
          </spPr>
          <cat>
            <numRef>
              <f>'🔴 02'!$P$12:$P$41</f>
            </numRef>
          </cat>
          <val>
            <numRef>
              <f>'🔴 02'!$U$12:$U$41</f>
            </numRef>
          </val>
        </ser>
        <axId val="10"/>
        <axId val="100"/>
      </areaChart>
      <barChart>
        <barDir val="col"/>
        <grouping val="clustered"/>
        <ser>
          <idx val="3"/>
          <order val="3"/>
          <tx>
            <v>📊 % Individual por Produto</v>
          </tx>
          <spPr>
            <a:solidFill>
              <a:srgbClr val="2E75B6"/>
            </a:solidFill>
            <a:ln w="8000">
              <a:solidFill>
                <a:srgbClr val="1A4E8A"/>
              </a:solidFill>
              <a:prstDash val="solid"/>
            </a:ln>
          </spPr>
          <cat>
            <numRef>
              <f>'🔴 02'!$P$12:$P$41</f>
            </numRef>
          </cat>
          <val>
            <numRef>
              <f>'🔴 02'!$Q$12:$Q$41</f>
            </numRef>
          </val>
        </ser>
        <dLbls>
          <numFmt formatCode="0.0%"/>
          <showVal val="1"/>
          <showCatName val="0"/>
          <showSerName val="0"/>
        </dLbls>
        <gapWidth val="150"/>
        <axId val="10"/>
        <axId val="100"/>
      </barChart>
      <lineChart>
        <grouping val="standard"/>
        <ser>
          <idx val="4"/>
          <order val="4"/>
          <tx>
            <v>📈 % Acumulado (Curva Pareto)</v>
          </tx>
          <spPr>
            <a:ln w="30000">
              <a:solidFill>
                <a:srgbClr val="990000"/>
              </a:solidFill>
              <a:prstDash val="solid"/>
            </a:ln>
          </spPr>
          <marker>
            <symbol val="circle"/>
            <size val="5"/>
            <spPr>
              <a:solidFill>
                <a:srgbClr val="CC0000"/>
              </a:solidFill>
              <a:ln>
                <a:solidFill>
                  <a:srgbClr val="990000"/>
                </a:solidFill>
                <a:prstDash val="solid"/>
              </a:ln>
            </spPr>
          </marker>
          <cat>
            <numRef>
              <f>'🔴 02'!$P$12:$P$41</f>
            </numRef>
          </cat>
          <val>
            <numRef>
              <f>'🔴 02'!$R$12:$R$41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Produtos (ordenados por V.T. decrescente)</a:t>
                </a:r>
              </a:p>
            </rich>
          </tx>
        </title>
        <numFmt formatCode="General" sourceLinked="0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do Valor Total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24</row>
      <rowOff>0</rowOff>
    </from>
    <ext cx="11520000" cy="57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11520000" cy="57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44</row>
      <rowOff>0</rowOff>
    </from>
    <ext cx="11520000" cy="57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tabColor rgb="00006B28"/>
    <outlinePr summaryBelow="1" summaryRight="1"/>
    <pageSetUpPr/>
  </sheetPr>
  <dimension ref="A1:U22"/>
  <sheetViews>
    <sheetView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8" customWidth="1" min="3" max="3"/>
    <col width="30" customWidth="1" min="4" max="4"/>
    <col width="10" customWidth="1" min="5" max="5"/>
    <col width="14" customWidth="1" min="6" max="6"/>
    <col width="16" customWidth="1" min="7" max="7"/>
    <col width="12" customWidth="1" min="8" max="8"/>
    <col width="12" customWidth="1" min="9" max="9"/>
    <col width="2" customWidth="1" min="10" max="10"/>
    <col width="11" customWidth="1" min="11" max="11"/>
    <col width="16" customWidth="1" min="12" max="12"/>
    <col width="10" customWidth="1" min="13" max="13"/>
    <col width="10" customWidth="1" min="14" max="14"/>
    <col width="2" customWidth="1" min="15" max="15"/>
    <col width="28" customWidth="1" min="16" max="16"/>
    <col width="13" customWidth="1" min="17" max="17"/>
    <col width="13" customWidth="1" min="18" max="18"/>
    <col width="10" customWidth="1" min="19" max="19"/>
    <col width="10" customWidth="1" min="20" max="20"/>
    <col width="10" customWidth="1" min="21" max="21"/>
  </cols>
  <sheetData>
    <row r="1" ht="52" customHeight="1">
      <c r="A1" s="1" t="inlineStr">
        <is>
          <t>🇯🇲  CURVA ABC REGGAE — PRIMEIRA  —  One Love, One Excel! ✌️</t>
        </is>
      </c>
      <c r="J1" s="2" t="inlineStr">
        <is>
          <t>🟢 A=até 80%  |  🟡 B=80-95%  |  🔴 C=95-100%</t>
        </is>
      </c>
    </row>
    <row r="2" ht="8" customHeight="1">
      <c r="A2" s="3" t="n"/>
      <c r="B2" s="4" t="n"/>
      <c r="C2" s="5" t="n"/>
      <c r="D2" s="6" t="n"/>
      <c r="E2" s="3" t="n"/>
      <c r="F2" s="4" t="n"/>
      <c r="G2" s="5" t="n"/>
      <c r="H2" s="6" t="n"/>
      <c r="I2" s="3" t="n"/>
    </row>
    <row r="3" ht="26" customHeight="1">
      <c r="A3" s="7" t="inlineStr">
        <is>
          <t>💰 V.T. TOTAL</t>
        </is>
      </c>
      <c r="B3" s="8" t="n"/>
      <c r="C3" s="9" t="inlineStr">
        <is>
          <t>🟢 V.T. CLASSE A</t>
        </is>
      </c>
      <c r="D3" s="8" t="n"/>
      <c r="E3" s="10" t="inlineStr">
        <is>
          <t>🟡 V.T. CLASSE B</t>
        </is>
      </c>
      <c r="F3" s="8" t="n"/>
      <c r="G3" s="9" t="inlineStr">
        <is>
          <t>🔴 MAIOR V.T.</t>
        </is>
      </c>
      <c r="H3" s="8" t="n"/>
      <c r="I3" s="11" t="n"/>
    </row>
    <row r="4" ht="30" customHeight="1">
      <c r="A4" s="12">
        <f>SUM($G$12:$G$21)</f>
        <v/>
      </c>
      <c r="B4" s="13" t="n"/>
      <c r="C4" s="14">
        <f>SUMIF($A$12:$A$21,"A",$G$12:$G$21)</f>
        <v/>
      </c>
      <c r="D4" s="13" t="n"/>
      <c r="E4" s="15">
        <f>SUMIF($A$12:$A$21,"B",$G$12:$G$21)</f>
        <v/>
      </c>
      <c r="F4" s="13" t="n"/>
      <c r="G4" s="16">
        <f>MAX($G$12:$G$21)</f>
        <v/>
      </c>
      <c r="H4" s="13" t="n"/>
      <c r="I4" s="17" t="n"/>
    </row>
    <row r="5" ht="26" customHeight="1">
      <c r="A5" s="18" t="inlineStr">
        <is>
          <t>📦 TOTAL ITENS</t>
        </is>
      </c>
      <c r="B5" s="13" t="n"/>
      <c r="C5" s="19" t="inlineStr">
        <is>
          <t>% ITENS CLASSE A</t>
        </is>
      </c>
      <c r="D5" s="13" t="n"/>
      <c r="E5" s="19" t="inlineStr">
        <is>
          <t>🔴 V.T. CLASSE C</t>
        </is>
      </c>
      <c r="F5" s="13" t="n"/>
      <c r="G5" s="19" t="inlineStr">
        <is>
          <t>✅ STATUS</t>
        </is>
      </c>
      <c r="H5" s="13" t="n"/>
      <c r="I5" s="17" t="n"/>
    </row>
    <row r="6" ht="30" customHeight="1">
      <c r="A6" s="20">
        <f>COUNTA($D$12:$D$21)</f>
        <v/>
      </c>
      <c r="B6" s="21" t="n"/>
      <c r="C6" s="22">
        <f>IFERROR(COUNTIF($A$12:$A$21,"A")/COUNTA($D$12:$D$21),0)</f>
        <v/>
      </c>
      <c r="D6" s="21" t="n"/>
      <c r="E6" s="23">
        <f>SUMIF($A$12:$A$21,"C",$G$12:$G$21)</f>
        <v/>
      </c>
      <c r="F6" s="21" t="n"/>
      <c r="G6" s="24">
        <f>IF(IFERROR(MAX($I$12:$I$21),0)&gt;1.001,"⚠️ VERIFICAR","✅ OK")</f>
        <v/>
      </c>
      <c r="H6" s="21" t="n"/>
      <c r="I6" s="25" t="n"/>
    </row>
    <row r="7" ht="8" customHeight="1">
      <c r="A7" s="5" t="n"/>
      <c r="B7" s="4" t="n"/>
      <c r="C7" s="3" t="n"/>
      <c r="D7" s="6" t="n"/>
      <c r="E7" s="5" t="n"/>
      <c r="F7" s="4" t="n"/>
      <c r="G7" s="3" t="n"/>
      <c r="H7" s="6" t="n"/>
      <c r="I7" s="5" t="n"/>
    </row>
    <row r="8" ht="22" customHeight="1">
      <c r="A8" s="26" t="inlineStr">
        <is>
          <t xml:space="preserve">  🌿  Edite somente Qtd. (col F) e Custo Unit. (col G)  |  Limites: E9=Classe A (80%)  E10=Classe B (95%)</t>
        </is>
      </c>
      <c r="K8" s="27" t="inlineStr">
        <is>
          <t>Classe</t>
        </is>
      </c>
      <c r="L8" s="27" t="inlineStr">
        <is>
          <t>Total V.T.</t>
        </is>
      </c>
      <c r="M8" s="27" t="inlineStr">
        <is>
          <t>% Total</t>
        </is>
      </c>
      <c r="N8" s="27" t="inlineStr">
        <is>
          <t>Qtd.</t>
        </is>
      </c>
    </row>
    <row r="9" ht="22" customHeight="1">
      <c r="A9" s="28" t="inlineStr">
        <is>
          <t>Limite A:</t>
        </is>
      </c>
      <c r="B9" s="29" t="n">
        <v>0.8</v>
      </c>
      <c r="K9" s="30" t="inlineStr">
        <is>
          <t>A</t>
        </is>
      </c>
      <c r="L9" s="31">
        <f>SUMIF($A$12:$A$21,"A",$G$12:$G$21)</f>
        <v/>
      </c>
      <c r="M9" s="32">
        <f>IFERROR(L9/SUM($G$12:$G$21),0)</f>
        <v/>
      </c>
      <c r="N9" s="33">
        <f>COUNTIF($A$12:$A$21,"A")</f>
        <v/>
      </c>
    </row>
    <row r="10" ht="22" customHeight="1">
      <c r="A10" s="34" t="inlineStr">
        <is>
          <t>Limite B:</t>
        </is>
      </c>
      <c r="B10" s="35" t="n">
        <v>0.95</v>
      </c>
      <c r="K10" s="36" t="inlineStr">
        <is>
          <t>B</t>
        </is>
      </c>
      <c r="L10" s="37">
        <f>SUMIF($A$12:$A$21,"B",$G$12:$G$21)</f>
        <v/>
      </c>
      <c r="M10" s="38">
        <f>IFERROR(L10/SUM($G$12:$G$21),0)</f>
        <v/>
      </c>
      <c r="N10" s="39">
        <f>COUNTIF($A$12:$A$21,"B")</f>
        <v/>
      </c>
    </row>
    <row r="11" ht="22" customHeight="1">
      <c r="A11" s="40" t="inlineStr">
        <is>
          <t>ABC</t>
        </is>
      </c>
      <c r="B11" s="41" t="inlineStr">
        <is>
          <t>SKU</t>
        </is>
      </c>
      <c r="C11" s="41" t="inlineStr">
        <is>
          <t>Cod.</t>
        </is>
      </c>
      <c r="D11" s="42" t="inlineStr">
        <is>
          <t>Descrição do Item</t>
        </is>
      </c>
      <c r="E11" s="43" t="inlineStr">
        <is>
          <t>Qtd.</t>
        </is>
      </c>
      <c r="F11" s="43" t="inlineStr">
        <is>
          <t>Custo Unit.(R$)</t>
        </is>
      </c>
      <c r="G11" s="40" t="inlineStr">
        <is>
          <t>V.T. (R$)</t>
        </is>
      </c>
      <c r="H11" s="41" t="inlineStr">
        <is>
          <t>% Individual</t>
        </is>
      </c>
      <c r="I11" s="41" t="inlineStr">
        <is>
          <t>% Acumulado</t>
        </is>
      </c>
      <c r="K11" s="44" t="inlineStr">
        <is>
          <t>C</t>
        </is>
      </c>
      <c r="L11" s="45">
        <f>SUMIF($A$12:$A$21,"C",$G$12:$G$21)</f>
        <v/>
      </c>
      <c r="M11" s="46">
        <f>IFERROR(L11/SUM($G$12:$G$21),0)</f>
        <v/>
      </c>
      <c r="N11" s="47">
        <f>COUNTIF($A$12:$A$21,"C")</f>
        <v/>
      </c>
      <c r="P11" s="48" t="inlineStr">
        <is>
          <t>Rótulo X</t>
        </is>
      </c>
      <c r="Q11" s="48" t="inlineStr">
        <is>
          <t>% Ind</t>
        </is>
      </c>
      <c r="R11" s="48" t="inlineStr">
        <is>
          <t>% Acc</t>
        </is>
      </c>
      <c r="S11" s="48" t="inlineStr">
        <is>
          <t>ZonaA</t>
        </is>
      </c>
      <c r="T11" s="48" t="inlineStr">
        <is>
          <t>ZonaB</t>
        </is>
      </c>
      <c r="U11" s="48" t="inlineStr">
        <is>
          <t>ZonaC</t>
        </is>
      </c>
    </row>
    <row r="12" ht="18" customHeight="1">
      <c r="A12" s="49">
        <f>IF($I12&lt;=$B$9,"A",IF($I12&lt;=$B$10,"B","C"))</f>
        <v/>
      </c>
      <c r="B12" s="50" t="inlineStr">
        <is>
          <t>SKU01</t>
        </is>
      </c>
      <c r="C12" s="50" t="n">
        <v>3</v>
      </c>
      <c r="D12" s="51" t="inlineStr">
        <is>
          <t>Servidor Backup</t>
        </is>
      </c>
      <c r="E12" s="52" t="n">
        <v>2</v>
      </c>
      <c r="F12" s="53" t="n">
        <v>25000</v>
      </c>
      <c r="G12" s="54">
        <f>IFERROR(E12*F12,0)</f>
        <v/>
      </c>
      <c r="H12" s="55">
        <f>IFERROR(G12/SUM($G$12:$G$21),0)</f>
        <v/>
      </c>
      <c r="I12" s="55">
        <f>IFERROR(SUMIF($G$12:$G$21,"&gt;="&amp;G12,$G$12:$G$21)/SUM($G$12:$G$21),0)</f>
        <v/>
      </c>
      <c r="P12" s="56" t="inlineStr">
        <is>
          <t>A — SKU01 — Servidor Backup</t>
        </is>
      </c>
      <c r="Q12" s="57" t="n">
        <v>0.37781</v>
      </c>
      <c r="R12" s="57" t="n">
        <v>0.37781</v>
      </c>
      <c r="S12" s="58" t="n">
        <v>1</v>
      </c>
      <c r="T12" s="59" t="n">
        <v>0</v>
      </c>
      <c r="U12" s="60" t="n">
        <v>0</v>
      </c>
    </row>
    <row r="13" ht="18" customHeight="1">
      <c r="A13" s="49">
        <f>IF($I13&lt;=$B$9,"A",IF($I13&lt;=$B$10,"B","C"))</f>
        <v/>
      </c>
      <c r="B13" s="50" t="inlineStr">
        <is>
          <t>SKU02</t>
        </is>
      </c>
      <c r="C13" s="50" t="n">
        <v>5</v>
      </c>
      <c r="D13" s="51" t="inlineStr">
        <is>
          <t>Monitor 27" 4K</t>
        </is>
      </c>
      <c r="E13" s="52" t="n">
        <v>10</v>
      </c>
      <c r="F13" s="53" t="n">
        <v>3000</v>
      </c>
      <c r="G13" s="54">
        <f>IFERROR(E13*F13,0)</f>
        <v/>
      </c>
      <c r="H13" s="55">
        <f>IFERROR(G13/SUM($G$12:$G$21),0)</f>
        <v/>
      </c>
      <c r="I13" s="55">
        <f>IFERROR(SUMIF($G$12:$G$21,"&gt;="&amp;G13,$G$12:$G$21)/SUM($G$12:$G$21),0)</f>
        <v/>
      </c>
      <c r="P13" s="56" t="inlineStr">
        <is>
          <t>A — SKU02 — Monitor 27" 4K</t>
        </is>
      </c>
      <c r="Q13" s="57" t="n">
        <v>0.22669</v>
      </c>
      <c r="R13" s="57" t="n">
        <v>0.6045</v>
      </c>
      <c r="S13" s="58" t="n">
        <v>1</v>
      </c>
      <c r="T13" s="59" t="n">
        <v>0</v>
      </c>
      <c r="U13" s="60" t="n">
        <v>0</v>
      </c>
    </row>
    <row r="14" ht="18" customHeight="1">
      <c r="A14" s="61">
        <f>IF($I14&lt;=$B$9,"A",IF($I14&lt;=$B$10,"B","C"))</f>
        <v/>
      </c>
      <c r="B14" s="62" t="inlineStr">
        <is>
          <t>SKU03</t>
        </is>
      </c>
      <c r="C14" s="62" t="n">
        <v>9</v>
      </c>
      <c r="D14" s="63" t="inlineStr">
        <is>
          <t>Notebook Administrativo</t>
        </is>
      </c>
      <c r="E14" s="52" t="n">
        <v>6</v>
      </c>
      <c r="F14" s="53" t="n">
        <v>4500</v>
      </c>
      <c r="G14" s="64">
        <f>IFERROR(E14*F14,0)</f>
        <v/>
      </c>
      <c r="H14" s="65">
        <f>IFERROR(G14/SUM($G$12:$G$21),0)</f>
        <v/>
      </c>
      <c r="I14" s="65">
        <f>IFERROR(SUMIF($G$12:$G$21,"&gt;="&amp;G14,$G$12:$G$21)/SUM($G$12:$G$21),0)</f>
        <v/>
      </c>
      <c r="P14" s="56" t="inlineStr">
        <is>
          <t>B — SKU03 — Notebook Administrativ</t>
        </is>
      </c>
      <c r="Q14" s="57" t="n">
        <v>0.20402</v>
      </c>
      <c r="R14" s="57" t="n">
        <v>0.80852</v>
      </c>
      <c r="S14" s="58" t="n">
        <v>0</v>
      </c>
      <c r="T14" s="59" t="n">
        <v>1</v>
      </c>
      <c r="U14" s="60" t="n">
        <v>0</v>
      </c>
    </row>
    <row r="15" ht="18" customHeight="1">
      <c r="A15" s="61">
        <f>IF($I15&lt;=$B$9,"A",IF($I15&lt;=$B$10,"B","C"))</f>
        <v/>
      </c>
      <c r="B15" s="62" t="inlineStr">
        <is>
          <t>SKU04</t>
        </is>
      </c>
      <c r="C15" s="62" t="n">
        <v>1</v>
      </c>
      <c r="D15" s="63" t="inlineStr">
        <is>
          <t>Nobreak Profissional</t>
        </is>
      </c>
      <c r="E15" s="52" t="n">
        <v>5</v>
      </c>
      <c r="F15" s="53" t="n">
        <v>2000</v>
      </c>
      <c r="G15" s="64">
        <f>IFERROR(E15*F15,0)</f>
        <v/>
      </c>
      <c r="H15" s="65">
        <f>IFERROR(G15/SUM($G$12:$G$21),0)</f>
        <v/>
      </c>
      <c r="I15" s="65">
        <f>IFERROR(SUMIF($G$12:$G$21,"&gt;="&amp;G15,$G$12:$G$21)/SUM($G$12:$G$21),0)</f>
        <v/>
      </c>
      <c r="P15" s="56" t="inlineStr">
        <is>
          <t>B — SKU04 — Nobreak Profissional</t>
        </is>
      </c>
      <c r="Q15" s="57" t="n">
        <v>0.07556</v>
      </c>
      <c r="R15" s="57" t="n">
        <v>0.88409</v>
      </c>
      <c r="S15" s="58" t="n">
        <v>0</v>
      </c>
      <c r="T15" s="59" t="n">
        <v>1</v>
      </c>
      <c r="U15" s="60" t="n">
        <v>0</v>
      </c>
    </row>
    <row r="16" ht="18" customHeight="1">
      <c r="A16" s="61">
        <f>IF($I16&lt;=$B$9,"A",IF($I16&lt;=$B$10,"B","C"))</f>
        <v/>
      </c>
      <c r="B16" s="62" t="inlineStr">
        <is>
          <t>SKU05</t>
        </is>
      </c>
      <c r="C16" s="62" t="n">
        <v>7</v>
      </c>
      <c r="D16" s="63" t="inlineStr">
        <is>
          <t>Switch Gerenciavel</t>
        </is>
      </c>
      <c r="E16" s="52" t="n">
        <v>4</v>
      </c>
      <c r="F16" s="53" t="n">
        <v>1500</v>
      </c>
      <c r="G16" s="64">
        <f>IFERROR(E16*F16,0)</f>
        <v/>
      </c>
      <c r="H16" s="65">
        <f>IFERROR(G16/SUM($G$12:$G$21),0)</f>
        <v/>
      </c>
      <c r="I16" s="65">
        <f>IFERROR(SUMIF($G$12:$G$21,"&gt;="&amp;G16,$G$12:$G$21)/SUM($G$12:$G$21),0)</f>
        <v/>
      </c>
      <c r="P16" s="56" t="inlineStr">
        <is>
          <t>B — SKU05 — Switch Gerenciavel</t>
        </is>
      </c>
      <c r="Q16" s="57" t="n">
        <v>0.04534</v>
      </c>
      <c r="R16" s="57" t="n">
        <v>0.92942</v>
      </c>
      <c r="S16" s="58" t="n">
        <v>0</v>
      </c>
      <c r="T16" s="59" t="n">
        <v>1</v>
      </c>
      <c r="U16" s="60" t="n">
        <v>0</v>
      </c>
    </row>
    <row r="17" ht="18" customHeight="1">
      <c r="A17" s="66">
        <f>IF($I17&lt;=$B$9,"A",IF($I17&lt;=$B$10,"B","C"))</f>
        <v/>
      </c>
      <c r="B17" s="67" t="inlineStr">
        <is>
          <t>SKU06</t>
        </is>
      </c>
      <c r="C17" s="67" t="n">
        <v>4</v>
      </c>
      <c r="D17" s="68" t="inlineStr">
        <is>
          <t>Mouse sem fio</t>
        </is>
      </c>
      <c r="E17" s="52" t="n">
        <v>40</v>
      </c>
      <c r="F17" s="53" t="n">
        <v>50</v>
      </c>
      <c r="G17" s="69">
        <f>IFERROR(E17*F17,0)</f>
        <v/>
      </c>
      <c r="H17" s="70">
        <f>IFERROR(G17/SUM($G$12:$G$21),0)</f>
        <v/>
      </c>
      <c r="I17" s="70">
        <f>IFERROR(SUMIF($G$12:$G$21,"&gt;="&amp;G17,$G$12:$G$21)/SUM($G$12:$G$21),0)</f>
        <v/>
      </c>
      <c r="P17" s="56" t="inlineStr">
        <is>
          <t>C — SKU08 — Teclado USB</t>
        </is>
      </c>
      <c r="Q17" s="57" t="n">
        <v>0.02116</v>
      </c>
      <c r="R17" s="57" t="n">
        <v>0.95058</v>
      </c>
      <c r="S17" s="58" t="n">
        <v>0</v>
      </c>
      <c r="T17" s="59" t="n">
        <v>0</v>
      </c>
      <c r="U17" s="60" t="n">
        <v>1</v>
      </c>
    </row>
    <row r="18" ht="18" customHeight="1">
      <c r="A18" s="66">
        <f>IF($I18&lt;=$B$9,"A",IF($I18&lt;=$B$10,"B","C"))</f>
        <v/>
      </c>
      <c r="B18" s="67" t="inlineStr">
        <is>
          <t>SKU07</t>
        </is>
      </c>
      <c r="C18" s="67" t="n">
        <v>8</v>
      </c>
      <c r="D18" s="68" t="inlineStr">
        <is>
          <t>Patch Cord 1m</t>
        </is>
      </c>
      <c r="E18" s="52" t="n">
        <v>100</v>
      </c>
      <c r="F18" s="53" t="n">
        <v>15</v>
      </c>
      <c r="G18" s="69">
        <f>IFERROR(E18*F18,0)</f>
        <v/>
      </c>
      <c r="H18" s="70">
        <f>IFERROR(G18/SUM($G$12:$G$21),0)</f>
        <v/>
      </c>
      <c r="I18" s="70">
        <f>IFERROR(SUMIF($G$12:$G$21,"&gt;="&amp;G18,$G$12:$G$21)/SUM($G$12:$G$21),0)</f>
        <v/>
      </c>
      <c r="P18" s="56" t="inlineStr">
        <is>
          <t>C — SKU06 — Mouse sem fio</t>
        </is>
      </c>
      <c r="Q18" s="57" t="n">
        <v>0.01511</v>
      </c>
      <c r="R18" s="57" t="n">
        <v>0.96569</v>
      </c>
      <c r="S18" s="58" t="n">
        <v>0</v>
      </c>
      <c r="T18" s="59" t="n">
        <v>0</v>
      </c>
      <c r="U18" s="60" t="n">
        <v>1</v>
      </c>
    </row>
    <row r="19" ht="18" customHeight="1">
      <c r="A19" s="66">
        <f>IF($I19&lt;=$B$9,"A",IF($I19&lt;=$B$10,"B","C"))</f>
        <v/>
      </c>
      <c r="B19" s="67" t="inlineStr">
        <is>
          <t>SKU08</t>
        </is>
      </c>
      <c r="C19" s="67" t="n">
        <v>6</v>
      </c>
      <c r="D19" s="68" t="inlineStr">
        <is>
          <t>Teclado USB</t>
        </is>
      </c>
      <c r="E19" s="52" t="n">
        <v>80</v>
      </c>
      <c r="F19" s="53" t="n">
        <v>35</v>
      </c>
      <c r="G19" s="69">
        <f>IFERROR(E19*F19,0)</f>
        <v/>
      </c>
      <c r="H19" s="70">
        <f>IFERROR(G19/SUM($G$12:$G$21),0)</f>
        <v/>
      </c>
      <c r="I19" s="70">
        <f>IFERROR(SUMIF($G$12:$G$21,"&gt;="&amp;G19,$G$12:$G$21)/SUM($G$12:$G$21),0)</f>
        <v/>
      </c>
      <c r="P19" s="56" t="inlineStr">
        <is>
          <t>C — SKU09 — Cabo Rede Cat6 (m)</t>
        </is>
      </c>
      <c r="Q19" s="57" t="n">
        <v>0.01209</v>
      </c>
      <c r="R19" s="57" t="n">
        <v>0.97778</v>
      </c>
      <c r="S19" s="58" t="n">
        <v>0</v>
      </c>
      <c r="T19" s="59" t="n">
        <v>0</v>
      </c>
      <c r="U19" s="60" t="n">
        <v>1</v>
      </c>
    </row>
    <row r="20" ht="18" customHeight="1">
      <c r="A20" s="66">
        <f>IF($I20&lt;=$B$9,"A",IF($I20&lt;=$B$10,"B","C"))</f>
        <v/>
      </c>
      <c r="B20" s="67" t="inlineStr">
        <is>
          <t>SKU09</t>
        </is>
      </c>
      <c r="C20" s="67" t="n">
        <v>2</v>
      </c>
      <c r="D20" s="68" t="inlineStr">
        <is>
          <t>Cabo Rede Cat6 (m)</t>
        </is>
      </c>
      <c r="E20" s="52" t="n">
        <v>200</v>
      </c>
      <c r="F20" s="53" t="n">
        <v>8</v>
      </c>
      <c r="G20" s="69">
        <f>IFERROR(E20*F20,0)</f>
        <v/>
      </c>
      <c r="H20" s="70">
        <f>IFERROR(G20/SUM($G$12:$G$21),0)</f>
        <v/>
      </c>
      <c r="I20" s="70">
        <f>IFERROR(SUMIF($G$12:$G$21,"&gt;="&amp;G20,$G$12:$G$21)/SUM($G$12:$G$21),0)</f>
        <v/>
      </c>
      <c r="P20" s="56" t="inlineStr">
        <is>
          <t>C — SKU07 — Patch Cord 1m</t>
        </is>
      </c>
      <c r="Q20" s="57" t="n">
        <v>0.01133</v>
      </c>
      <c r="R20" s="57" t="n">
        <v>0.98912</v>
      </c>
      <c r="S20" s="58" t="n">
        <v>0</v>
      </c>
      <c r="T20" s="59" t="n">
        <v>0</v>
      </c>
      <c r="U20" s="60" t="n">
        <v>1</v>
      </c>
    </row>
    <row r="21" ht="18" customHeight="1">
      <c r="A21" s="66">
        <f>IF($I21&lt;=$B$9,"A",IF($I21&lt;=$B$10,"B","C"))</f>
        <v/>
      </c>
      <c r="B21" s="67" t="inlineStr">
        <is>
          <t>SKU10</t>
        </is>
      </c>
      <c r="C21" s="67" t="n">
        <v>10</v>
      </c>
      <c r="D21" s="68" t="inlineStr">
        <is>
          <t>Mousepad Slim</t>
        </is>
      </c>
      <c r="E21" s="52" t="n">
        <v>120</v>
      </c>
      <c r="F21" s="53" t="n">
        <v>12</v>
      </c>
      <c r="G21" s="69">
        <f>IFERROR(E21*F21,0)</f>
        <v/>
      </c>
      <c r="H21" s="70">
        <f>IFERROR(G21/SUM($G$12:$G$21),0)</f>
        <v/>
      </c>
      <c r="I21" s="70">
        <f>IFERROR(SUMIF($G$12:$G$21,"&gt;="&amp;G21,$G$12:$G$21)/SUM($G$12:$G$21),0)</f>
        <v/>
      </c>
      <c r="P21" s="56" t="inlineStr">
        <is>
          <t>C — SKU10 — Mousepad Slim</t>
        </is>
      </c>
      <c r="Q21" s="57" t="n">
        <v>0.01088</v>
      </c>
      <c r="R21" s="57" t="n">
        <v>1</v>
      </c>
      <c r="S21" s="58" t="n">
        <v>0</v>
      </c>
      <c r="T21" s="59" t="n">
        <v>0</v>
      </c>
      <c r="U21" s="60" t="n">
        <v>1</v>
      </c>
    </row>
    <row r="22" ht="22" customHeight="1">
      <c r="A22" s="71" t="inlineStr">
        <is>
          <t>TOTAL GERAL</t>
        </is>
      </c>
      <c r="B22" s="72" t="n"/>
      <c r="C22" s="72" t="n"/>
      <c r="D22" s="72" t="n"/>
      <c r="E22" s="73">
        <f>SUM(E12:E21)</f>
        <v/>
      </c>
      <c r="F22" s="74" t="n"/>
      <c r="G22" s="75">
        <f>SUM(G12:G21)</f>
        <v/>
      </c>
      <c r="H22" s="76" t="n">
        <v>1</v>
      </c>
      <c r="I22" s="76" t="n">
        <v>1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F0B1"/>
  <mergeCells count="20">
    <mergeCell ref="C6:D6"/>
    <mergeCell ref="A22:D22"/>
    <mergeCell ref="C5:D5"/>
    <mergeCell ref="E5:F5"/>
    <mergeCell ref="J1:N1"/>
    <mergeCell ref="A6:B6"/>
    <mergeCell ref="C4:D4"/>
    <mergeCell ref="E4:F4"/>
    <mergeCell ref="A8:I8"/>
    <mergeCell ref="G6:H6"/>
    <mergeCell ref="A3:B3"/>
    <mergeCell ref="G3:H3"/>
    <mergeCell ref="E6:F6"/>
    <mergeCell ref="A5:B5"/>
    <mergeCell ref="G5:H5"/>
    <mergeCell ref="A4:B4"/>
    <mergeCell ref="G4:H4"/>
    <mergeCell ref="A1:I1"/>
    <mergeCell ref="C3:D3"/>
    <mergeCell ref="E3:F3"/>
  </mergeCells>
  <conditionalFormatting sqref="A12:I21">
    <cfRule type="expression" priority="1" dxfId="0">
      <formula>$A12="A"</formula>
    </cfRule>
    <cfRule type="expression" priority="2" dxfId="1">
      <formula>$A12="B"</formula>
    </cfRule>
    <cfRule type="expression" priority="3" dxfId="2">
      <formula>$A12="C"</formula>
    </cfRule>
  </conditionalFormatting>
  <dataValidations count="2">
    <dataValidation sqref="B9" showDropDown="0" showInputMessage="0" showErrorMessage="1" allowBlank="0" errorTitle="❌ Valor Inválido" error="Limite A: entre 50% e 89%" type="decimal" operator="between">
      <formula1>0.5</formula1>
      <formula2>0.89</formula2>
    </dataValidation>
    <dataValidation sqref="B10" showDropDown="0" showInputMessage="0" showErrorMessage="1" allowBlank="0" errorTitle="❌ Valor Inválido" error="Limite B: entre 50% e 99%" type="decimal" operator="between">
      <formula1>0.5</formula1>
      <formula2>0.99</formula2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C8A400"/>
    <outlinePr summaryBelow="1" summaryRight="1"/>
    <pageSetUpPr/>
  </sheetPr>
  <dimension ref="A1:U32"/>
  <sheetViews>
    <sheetView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8" customWidth="1" min="3" max="3"/>
    <col width="30" customWidth="1" min="4" max="4"/>
    <col width="10" customWidth="1" min="5" max="5"/>
    <col width="14" customWidth="1" min="6" max="6"/>
    <col width="16" customWidth="1" min="7" max="7"/>
    <col width="12" customWidth="1" min="8" max="8"/>
    <col width="12" customWidth="1" min="9" max="9"/>
    <col width="2" customWidth="1" min="10" max="10"/>
    <col width="11" customWidth="1" min="11" max="11"/>
    <col width="16" customWidth="1" min="12" max="12"/>
    <col width="10" customWidth="1" min="13" max="13"/>
    <col width="10" customWidth="1" min="14" max="14"/>
    <col width="2" customWidth="1" min="15" max="15"/>
    <col width="28" customWidth="1" min="16" max="16"/>
    <col width="13" customWidth="1" min="17" max="17"/>
    <col width="13" customWidth="1" min="18" max="18"/>
    <col width="10" customWidth="1" min="19" max="19"/>
    <col width="10" customWidth="1" min="20" max="20"/>
    <col width="10" customWidth="1" min="21" max="21"/>
  </cols>
  <sheetData>
    <row r="1" ht="52" customHeight="1">
      <c r="A1" s="1" t="inlineStr">
        <is>
          <t>🇯🇲  CURVA ABC REGGAE — ABA 01  —  One Love, One Excel! ✌️</t>
        </is>
      </c>
      <c r="J1" s="2" t="inlineStr">
        <is>
          <t>🟢 A=até 80%  |  🟡 B=80-95%  |  🔴 C=95-100%</t>
        </is>
      </c>
    </row>
    <row r="2" ht="8" customHeight="1">
      <c r="A2" s="3" t="n"/>
      <c r="B2" s="4" t="n"/>
      <c r="C2" s="5" t="n"/>
      <c r="D2" s="6" t="n"/>
      <c r="E2" s="3" t="n"/>
      <c r="F2" s="4" t="n"/>
      <c r="G2" s="5" t="n"/>
      <c r="H2" s="6" t="n"/>
      <c r="I2" s="3" t="n"/>
    </row>
    <row r="3" ht="26" customHeight="1">
      <c r="A3" s="7" t="inlineStr">
        <is>
          <t>💰 V.T. TOTAL</t>
        </is>
      </c>
      <c r="B3" s="8" t="n"/>
      <c r="C3" s="9" t="inlineStr">
        <is>
          <t>🟢 V.T. CLASSE A</t>
        </is>
      </c>
      <c r="D3" s="8" t="n"/>
      <c r="E3" s="10" t="inlineStr">
        <is>
          <t>🟡 V.T. CLASSE B</t>
        </is>
      </c>
      <c r="F3" s="8" t="n"/>
      <c r="G3" s="9" t="inlineStr">
        <is>
          <t>🔴 MAIOR V.T.</t>
        </is>
      </c>
      <c r="H3" s="8" t="n"/>
      <c r="I3" s="11" t="n"/>
    </row>
    <row r="4" ht="30" customHeight="1">
      <c r="A4" s="12">
        <f>SUM($G$12:$G$31)</f>
        <v/>
      </c>
      <c r="B4" s="13" t="n"/>
      <c r="C4" s="14">
        <f>SUMIF($A$12:$A$31,"A",$G$12:$G$31)</f>
        <v/>
      </c>
      <c r="D4" s="13" t="n"/>
      <c r="E4" s="15">
        <f>SUMIF($A$12:$A$31,"B",$G$12:$G$31)</f>
        <v/>
      </c>
      <c r="F4" s="13" t="n"/>
      <c r="G4" s="16">
        <f>MAX($G$12:$G$31)</f>
        <v/>
      </c>
      <c r="H4" s="13" t="n"/>
      <c r="I4" s="17" t="n"/>
    </row>
    <row r="5" ht="26" customHeight="1">
      <c r="A5" s="18" t="inlineStr">
        <is>
          <t>📦 TOTAL ITENS</t>
        </is>
      </c>
      <c r="B5" s="13" t="n"/>
      <c r="C5" s="19" t="inlineStr">
        <is>
          <t>% ITENS CLASSE A</t>
        </is>
      </c>
      <c r="D5" s="13" t="n"/>
      <c r="E5" s="19" t="inlineStr">
        <is>
          <t>🔴 V.T. CLASSE C</t>
        </is>
      </c>
      <c r="F5" s="13" t="n"/>
      <c r="G5" s="19" t="inlineStr">
        <is>
          <t>✅ STATUS</t>
        </is>
      </c>
      <c r="H5" s="13" t="n"/>
      <c r="I5" s="17" t="n"/>
    </row>
    <row r="6" ht="30" customHeight="1">
      <c r="A6" s="20">
        <f>COUNTA($D$12:$D$31)</f>
        <v/>
      </c>
      <c r="B6" s="21" t="n"/>
      <c r="C6" s="22">
        <f>IFERROR(COUNTIF($A$12:$A$31,"A")/COUNTA($D$12:$D$31),0)</f>
        <v/>
      </c>
      <c r="D6" s="21" t="n"/>
      <c r="E6" s="23">
        <f>SUMIF($A$12:$A$31,"C",$G$12:$G$31)</f>
        <v/>
      </c>
      <c r="F6" s="21" t="n"/>
      <c r="G6" s="24">
        <f>IF(IFERROR(MAX($I$12:$I$31),0)&gt;1.001,"⚠️ VERIFICAR","✅ OK")</f>
        <v/>
      </c>
      <c r="H6" s="21" t="n"/>
      <c r="I6" s="25" t="n"/>
    </row>
    <row r="7" ht="8" customHeight="1">
      <c r="A7" s="5" t="n"/>
      <c r="B7" s="4" t="n"/>
      <c r="C7" s="3" t="n"/>
      <c r="D7" s="6" t="n"/>
      <c r="E7" s="5" t="n"/>
      <c r="F7" s="4" t="n"/>
      <c r="G7" s="3" t="n"/>
      <c r="H7" s="6" t="n"/>
      <c r="I7" s="5" t="n"/>
    </row>
    <row r="8" ht="22" customHeight="1">
      <c r="A8" s="26" t="inlineStr">
        <is>
          <t xml:space="preserve">  🌿  Edite somente Qtd. (col F) e Custo Unit. (col G)  |  Limites: E9=Classe A (80%)  E10=Classe B (95%)</t>
        </is>
      </c>
      <c r="K8" s="27" t="inlineStr">
        <is>
          <t>Classe</t>
        </is>
      </c>
      <c r="L8" s="27" t="inlineStr">
        <is>
          <t>Total V.T.</t>
        </is>
      </c>
      <c r="M8" s="27" t="inlineStr">
        <is>
          <t>% Total</t>
        </is>
      </c>
      <c r="N8" s="27" t="inlineStr">
        <is>
          <t>Qtd.</t>
        </is>
      </c>
    </row>
    <row r="9" ht="22" customHeight="1">
      <c r="A9" s="28" t="inlineStr">
        <is>
          <t>Limite A:</t>
        </is>
      </c>
      <c r="B9" s="29" t="n">
        <v>0.8</v>
      </c>
      <c r="K9" s="30" t="inlineStr">
        <is>
          <t>A</t>
        </is>
      </c>
      <c r="L9" s="31">
        <f>SUMIF($A$12:$A$31,"A",$G$12:$G$31)</f>
        <v/>
      </c>
      <c r="M9" s="32">
        <f>IFERROR(L9/SUM($G$12:$G$31),0)</f>
        <v/>
      </c>
      <c r="N9" s="33">
        <f>COUNTIF($A$12:$A$31,"A")</f>
        <v/>
      </c>
    </row>
    <row r="10" ht="22" customHeight="1">
      <c r="A10" s="34" t="inlineStr">
        <is>
          <t>Limite B:</t>
        </is>
      </c>
      <c r="B10" s="35" t="n">
        <v>0.95</v>
      </c>
      <c r="K10" s="36" t="inlineStr">
        <is>
          <t>B</t>
        </is>
      </c>
      <c r="L10" s="37">
        <f>SUMIF($A$12:$A$31,"B",$G$12:$G$31)</f>
        <v/>
      </c>
      <c r="M10" s="38">
        <f>IFERROR(L10/SUM($G$12:$G$31),0)</f>
        <v/>
      </c>
      <c r="N10" s="39">
        <f>COUNTIF($A$12:$A$31,"B")</f>
        <v/>
      </c>
    </row>
    <row r="11" ht="22" customHeight="1">
      <c r="A11" s="40" t="inlineStr">
        <is>
          <t>ABC</t>
        </is>
      </c>
      <c r="B11" s="41" t="inlineStr">
        <is>
          <t>SKU</t>
        </is>
      </c>
      <c r="C11" s="41" t="inlineStr">
        <is>
          <t>Cod.</t>
        </is>
      </c>
      <c r="D11" s="42" t="inlineStr">
        <is>
          <t>Descrição do Item</t>
        </is>
      </c>
      <c r="E11" s="43" t="inlineStr">
        <is>
          <t>Qtd.</t>
        </is>
      </c>
      <c r="F11" s="43" t="inlineStr">
        <is>
          <t>Custo Unit.(R$)</t>
        </is>
      </c>
      <c r="G11" s="40" t="inlineStr">
        <is>
          <t>V.T. (R$)</t>
        </is>
      </c>
      <c r="H11" s="41" t="inlineStr">
        <is>
          <t>% Individual</t>
        </is>
      </c>
      <c r="I11" s="41" t="inlineStr">
        <is>
          <t>% Acumulado</t>
        </is>
      </c>
      <c r="K11" s="44" t="inlineStr">
        <is>
          <t>C</t>
        </is>
      </c>
      <c r="L11" s="45">
        <f>SUMIF($A$12:$A$31,"C",$G$12:$G$31)</f>
        <v/>
      </c>
      <c r="M11" s="46">
        <f>IFERROR(L11/SUM($G$12:$G$31),0)</f>
        <v/>
      </c>
      <c r="N11" s="47">
        <f>COUNTIF($A$12:$A$31,"C")</f>
        <v/>
      </c>
      <c r="P11" s="48" t="inlineStr">
        <is>
          <t>Rótulo X</t>
        </is>
      </c>
      <c r="Q11" s="48" t="inlineStr">
        <is>
          <t>% Ind</t>
        </is>
      </c>
      <c r="R11" s="48" t="inlineStr">
        <is>
          <t>% Acc</t>
        </is>
      </c>
      <c r="S11" s="48" t="inlineStr">
        <is>
          <t>ZonaA</t>
        </is>
      </c>
      <c r="T11" s="48" t="inlineStr">
        <is>
          <t>ZonaB</t>
        </is>
      </c>
      <c r="U11" s="48" t="inlineStr">
        <is>
          <t>ZonaC</t>
        </is>
      </c>
    </row>
    <row r="12" ht="18" customHeight="1">
      <c r="A12" s="49">
        <f>IF($I12&lt;=$B$9,"A",IF($I12&lt;=$B$10,"B","C"))</f>
        <v/>
      </c>
      <c r="B12" s="50" t="inlineStr">
        <is>
          <t>SKU01</t>
        </is>
      </c>
      <c r="C12" s="50" t="n">
        <v>10</v>
      </c>
      <c r="D12" s="51" t="inlineStr">
        <is>
          <t>Notebook Executivo i7</t>
        </is>
      </c>
      <c r="E12" s="52" t="n">
        <v>35</v>
      </c>
      <c r="F12" s="53" t="n">
        <v>6500</v>
      </c>
      <c r="G12" s="54">
        <f>IFERROR(E12*F12,0)</f>
        <v/>
      </c>
      <c r="H12" s="55">
        <f>IFERROR(G12/SUM($G$12:$G$31),0)</f>
        <v/>
      </c>
      <c r="I12" s="55">
        <f>IFERROR(SUMIF($G$12:$G$31,"&gt;="&amp;G12,$G$12:$G$31)/SUM($G$12:$G$31),0)</f>
        <v/>
      </c>
      <c r="P12" s="56" t="inlineStr">
        <is>
          <t>A — SKU01 — Notebook Executivo i7</t>
        </is>
      </c>
      <c r="Q12" s="57" t="n">
        <v>0.35308</v>
      </c>
      <c r="R12" s="57" t="n">
        <v>0.35308</v>
      </c>
      <c r="S12" s="58" t="n">
        <v>1</v>
      </c>
      <c r="T12" s="59" t="n">
        <v>0</v>
      </c>
      <c r="U12" s="60" t="n">
        <v>0</v>
      </c>
    </row>
    <row r="13" ht="18" customHeight="1">
      <c r="A13" s="49">
        <f>IF($I13&lt;=$B$9,"A",IF($I13&lt;=$B$10,"B","C"))</f>
        <v/>
      </c>
      <c r="B13" s="50" t="inlineStr">
        <is>
          <t>SKU02</t>
        </is>
      </c>
      <c r="C13" s="50" t="n">
        <v>2</v>
      </c>
      <c r="D13" s="51" t="inlineStr">
        <is>
          <t>Servidor de Dados Pro</t>
        </is>
      </c>
      <c r="E13" s="52" t="n">
        <v>12</v>
      </c>
      <c r="F13" s="53" t="n">
        <v>15000</v>
      </c>
      <c r="G13" s="54">
        <f>IFERROR(E13*F13,0)</f>
        <v/>
      </c>
      <c r="H13" s="55">
        <f>IFERROR(G13/SUM($G$12:$G$31),0)</f>
        <v/>
      </c>
      <c r="I13" s="55">
        <f>IFERROR(SUMIF($G$12:$G$31,"&gt;="&amp;G13,$G$12:$G$31)/SUM($G$12:$G$31),0)</f>
        <v/>
      </c>
      <c r="P13" s="56" t="inlineStr">
        <is>
          <t>A — SKU02 — Servidor de Dados Pro</t>
        </is>
      </c>
      <c r="Q13" s="57" t="n">
        <v>0.27936</v>
      </c>
      <c r="R13" s="57" t="n">
        <v>0.63243</v>
      </c>
      <c r="S13" s="58" t="n">
        <v>1</v>
      </c>
      <c r="T13" s="59" t="n">
        <v>0</v>
      </c>
      <c r="U13" s="60" t="n">
        <v>0</v>
      </c>
    </row>
    <row r="14" ht="18" customHeight="1">
      <c r="A14" s="49">
        <f>IF($I14&lt;=$B$9,"A",IF($I14&lt;=$B$10,"B","C"))</f>
        <v/>
      </c>
      <c r="B14" s="50" t="inlineStr">
        <is>
          <t>SKU03</t>
        </is>
      </c>
      <c r="C14" s="50" t="n">
        <v>17</v>
      </c>
      <c r="D14" s="51" t="inlineStr">
        <is>
          <t>Impressora Multifuncional</t>
        </is>
      </c>
      <c r="E14" s="52" t="n">
        <v>55</v>
      </c>
      <c r="F14" s="53" t="n">
        <v>1100</v>
      </c>
      <c r="G14" s="54">
        <f>IFERROR(E14*F14,0)</f>
        <v/>
      </c>
      <c r="H14" s="55">
        <f>IFERROR(G14/SUM($G$12:$G$31),0)</f>
        <v/>
      </c>
      <c r="I14" s="55">
        <f>IFERROR(SUMIF($G$12:$G$31,"&gt;="&amp;G14,$G$12:$G$31)/SUM($G$12:$G$31),0)</f>
        <v/>
      </c>
      <c r="P14" s="56" t="inlineStr">
        <is>
          <t>A — SKU03 — Impressora Multifuncio</t>
        </is>
      </c>
      <c r="Q14" s="57" t="n">
        <v>0.0939</v>
      </c>
      <c r="R14" s="57" t="n">
        <v>0.72633</v>
      </c>
      <c r="S14" s="58" t="n">
        <v>1</v>
      </c>
      <c r="T14" s="59" t="n">
        <v>0</v>
      </c>
      <c r="U14" s="60" t="n">
        <v>0</v>
      </c>
    </row>
    <row r="15" ht="18" customHeight="1">
      <c r="A15" s="49">
        <f>IF($I15&lt;=$B$9,"A",IF($I15&lt;=$B$10,"B","C"))</f>
        <v/>
      </c>
      <c r="B15" s="50" t="inlineStr">
        <is>
          <t>SKU04</t>
        </is>
      </c>
      <c r="C15" s="50" t="n">
        <v>12</v>
      </c>
      <c r="D15" s="51" t="inlineStr">
        <is>
          <t>Toner Impressora Laser</t>
        </is>
      </c>
      <c r="E15" s="52" t="n">
        <v>68</v>
      </c>
      <c r="F15" s="53" t="n">
        <v>680</v>
      </c>
      <c r="G15" s="54">
        <f>IFERROR(E15*F15,0)</f>
        <v/>
      </c>
      <c r="H15" s="55">
        <f>IFERROR(G15/SUM($G$12:$G$31),0)</f>
        <v/>
      </c>
      <c r="I15" s="55">
        <f>IFERROR(SUMIF($G$12:$G$31,"&gt;="&amp;G15,$G$12:$G$31)/SUM($G$12:$G$31),0)</f>
        <v/>
      </c>
      <c r="P15" s="56" t="inlineStr">
        <is>
          <t>A — SKU04 — Toner Impressora Laser</t>
        </is>
      </c>
      <c r="Q15" s="57" t="n">
        <v>0.07176</v>
      </c>
      <c r="R15" s="57" t="n">
        <v>0.79809</v>
      </c>
      <c r="S15" s="58" t="n">
        <v>1</v>
      </c>
      <c r="T15" s="59" t="n">
        <v>0</v>
      </c>
      <c r="U15" s="60" t="n">
        <v>0</v>
      </c>
    </row>
    <row r="16" ht="18" customHeight="1">
      <c r="A16" s="61">
        <f>IF($I16&lt;=$B$9,"A",IF($I16&lt;=$B$10,"B","C"))</f>
        <v/>
      </c>
      <c r="B16" s="62" t="inlineStr">
        <is>
          <t>SKU05</t>
        </is>
      </c>
      <c r="C16" s="62" t="n">
        <v>19</v>
      </c>
      <c r="D16" s="63" t="inlineStr">
        <is>
          <t>Memoria RAM 16GB</t>
        </is>
      </c>
      <c r="E16" s="52" t="n">
        <v>45</v>
      </c>
      <c r="F16" s="53" t="n">
        <v>380</v>
      </c>
      <c r="G16" s="64">
        <f>IFERROR(E16*F16,0)</f>
        <v/>
      </c>
      <c r="H16" s="65">
        <f>IFERROR(G16/SUM($G$12:$G$31),0)</f>
        <v/>
      </c>
      <c r="I16" s="65">
        <f>IFERROR(SUMIF($G$12:$G$31,"&gt;="&amp;G16,$G$12:$G$31)/SUM($G$12:$G$31),0)</f>
        <v/>
      </c>
      <c r="P16" s="56" t="inlineStr">
        <is>
          <t>B — SKU05 — Memoria RAM 16GB</t>
        </is>
      </c>
      <c r="Q16" s="57" t="n">
        <v>0.02654</v>
      </c>
      <c r="R16" s="57" t="n">
        <v>0.82463</v>
      </c>
      <c r="S16" s="58" t="n">
        <v>0</v>
      </c>
      <c r="T16" s="59" t="n">
        <v>1</v>
      </c>
      <c r="U16" s="60" t="n">
        <v>0</v>
      </c>
    </row>
    <row r="17" ht="18" customHeight="1">
      <c r="A17" s="61">
        <f>IF($I17&lt;=$B$9,"A",IF($I17&lt;=$B$10,"B","C"))</f>
        <v/>
      </c>
      <c r="B17" s="62" t="inlineStr">
        <is>
          <t>SKU06</t>
        </is>
      </c>
      <c r="C17" s="62" t="n">
        <v>4</v>
      </c>
      <c r="D17" s="63" t="inlineStr">
        <is>
          <t>Monitor LED 24"</t>
        </is>
      </c>
      <c r="E17" s="52" t="n">
        <v>20</v>
      </c>
      <c r="F17" s="53" t="n">
        <v>850</v>
      </c>
      <c r="G17" s="64">
        <f>IFERROR(E17*F17,0)</f>
        <v/>
      </c>
      <c r="H17" s="65">
        <f>IFERROR(G17/SUM($G$12:$G$31),0)</f>
        <v/>
      </c>
      <c r="I17" s="65">
        <f>IFERROR(SUMIF($G$12:$G$31,"&gt;="&amp;G17,$G$12:$G$31)/SUM($G$12:$G$31),0)</f>
        <v/>
      </c>
      <c r="P17" s="56" t="inlineStr">
        <is>
          <t>B — SKU06 — Monitor LED 24"</t>
        </is>
      </c>
      <c r="Q17" s="57" t="n">
        <v>0.02638</v>
      </c>
      <c r="R17" s="57" t="n">
        <v>0.85102</v>
      </c>
      <c r="S17" s="58" t="n">
        <v>0</v>
      </c>
      <c r="T17" s="59" t="n">
        <v>1</v>
      </c>
      <c r="U17" s="60" t="n">
        <v>0</v>
      </c>
    </row>
    <row r="18" ht="18" customHeight="1">
      <c r="A18" s="61">
        <f>IF($I18&lt;=$B$9,"A",IF($I18&lt;=$B$10,"B","C"))</f>
        <v/>
      </c>
      <c r="B18" s="62" t="inlineStr">
        <is>
          <t>SKU07</t>
        </is>
      </c>
      <c r="C18" s="62" t="n">
        <v>14</v>
      </c>
      <c r="D18" s="63" t="inlineStr">
        <is>
          <t>Webcam Full HD</t>
        </is>
      </c>
      <c r="E18" s="52" t="n">
        <v>82</v>
      </c>
      <c r="F18" s="53" t="n">
        <v>180</v>
      </c>
      <c r="G18" s="64">
        <f>IFERROR(E18*F18,0)</f>
        <v/>
      </c>
      <c r="H18" s="65">
        <f>IFERROR(G18/SUM($G$12:$G$31),0)</f>
        <v/>
      </c>
      <c r="I18" s="65">
        <f>IFERROR(SUMIF($G$12:$G$31,"&gt;="&amp;G18,$G$12:$G$31)/SUM($G$12:$G$31),0)</f>
        <v/>
      </c>
      <c r="P18" s="56" t="inlineStr">
        <is>
          <t>B — SKU07 — Webcam Full HD</t>
        </is>
      </c>
      <c r="Q18" s="57" t="n">
        <v>0.02291</v>
      </c>
      <c r="R18" s="57" t="n">
        <v>0.87392</v>
      </c>
      <c r="S18" s="58" t="n">
        <v>0</v>
      </c>
      <c r="T18" s="59" t="n">
        <v>1</v>
      </c>
      <c r="U18" s="60" t="n">
        <v>0</v>
      </c>
    </row>
    <row r="19" ht="18" customHeight="1">
      <c r="A19" s="61">
        <f>IF($I19&lt;=$B$9,"A",IF($I19&lt;=$B$10,"B","C"))</f>
        <v/>
      </c>
      <c r="B19" s="62" t="inlineStr">
        <is>
          <t>SKU08</t>
        </is>
      </c>
      <c r="C19" s="62" t="n">
        <v>11</v>
      </c>
      <c r="D19" s="63" t="inlineStr">
        <is>
          <t>Roteador Wi-Fi 6</t>
        </is>
      </c>
      <c r="E19" s="52" t="n">
        <v>15</v>
      </c>
      <c r="F19" s="53" t="n">
        <v>650</v>
      </c>
      <c r="G19" s="64">
        <f>IFERROR(E19*F19,0)</f>
        <v/>
      </c>
      <c r="H19" s="65">
        <f>IFERROR(G19/SUM($G$12:$G$31),0)</f>
        <v/>
      </c>
      <c r="I19" s="65">
        <f>IFERROR(SUMIF($G$12:$G$31,"&gt;="&amp;G19,$G$12:$G$31)/SUM($G$12:$G$31),0)</f>
        <v/>
      </c>
      <c r="P19" s="56" t="inlineStr">
        <is>
          <t>B — SKU09 — SSD 480GB Sata</t>
        </is>
      </c>
      <c r="Q19" s="57" t="n">
        <v>0.01622</v>
      </c>
      <c r="R19" s="57" t="n">
        <v>0.89014</v>
      </c>
      <c r="S19" s="58" t="n">
        <v>0</v>
      </c>
      <c r="T19" s="59" t="n">
        <v>1</v>
      </c>
      <c r="U19" s="60" t="n">
        <v>0</v>
      </c>
    </row>
    <row r="20" ht="18" customHeight="1">
      <c r="A20" s="61">
        <f>IF($I20&lt;=$B$9,"A",IF($I20&lt;=$B$10,"B","C"))</f>
        <v/>
      </c>
      <c r="B20" s="62" t="inlineStr">
        <is>
          <t>SKU09</t>
        </is>
      </c>
      <c r="C20" s="62" t="n">
        <v>15</v>
      </c>
      <c r="D20" s="63" t="inlineStr">
        <is>
          <t>SSD 480GB Sata</t>
        </is>
      </c>
      <c r="E20" s="52" t="n">
        <v>55</v>
      </c>
      <c r="F20" s="53" t="n">
        <v>190</v>
      </c>
      <c r="G20" s="64">
        <f>IFERROR(E20*F20,0)</f>
        <v/>
      </c>
      <c r="H20" s="65">
        <f>IFERROR(G20/SUM($G$12:$G$31),0)</f>
        <v/>
      </c>
      <c r="I20" s="65">
        <f>IFERROR(SUMIF($G$12:$G$31,"&gt;="&amp;G20,$G$12:$G$31)/SUM($G$12:$G$31),0)</f>
        <v/>
      </c>
      <c r="P20" s="56" t="inlineStr">
        <is>
          <t>B — SKU08 — Roteador Wi-Fi 6</t>
        </is>
      </c>
      <c r="Q20" s="57" t="n">
        <v>0.01513</v>
      </c>
      <c r="R20" s="57" t="n">
        <v>0.90527</v>
      </c>
      <c r="S20" s="58" t="n">
        <v>0</v>
      </c>
      <c r="T20" s="59" t="n">
        <v>1</v>
      </c>
      <c r="U20" s="60" t="n">
        <v>0</v>
      </c>
    </row>
    <row r="21" ht="18" customHeight="1">
      <c r="A21" s="61">
        <f>IF($I21&lt;=$B$9,"A",IF($I21&lt;=$B$10,"B","C"))</f>
        <v/>
      </c>
      <c r="B21" s="62" t="inlineStr">
        <is>
          <t>SKU10</t>
        </is>
      </c>
      <c r="C21" s="62" t="n">
        <v>6</v>
      </c>
      <c r="D21" s="63" t="inlineStr">
        <is>
          <t>Nobreak 1500VA</t>
        </is>
      </c>
      <c r="E21" s="52" t="n">
        <v>8</v>
      </c>
      <c r="F21" s="53" t="n">
        <v>1200</v>
      </c>
      <c r="G21" s="64">
        <f>IFERROR(E21*F21,0)</f>
        <v/>
      </c>
      <c r="H21" s="65">
        <f>IFERROR(G21/SUM($G$12:$G$31),0)</f>
        <v/>
      </c>
      <c r="I21" s="65">
        <f>IFERROR(SUMIF($G$12:$G$31,"&gt;="&amp;G21,$G$12:$G$31)/SUM($G$12:$G$31),0)</f>
        <v/>
      </c>
      <c r="P21" s="56" t="inlineStr">
        <is>
          <t>B — SKU10 — Nobreak 1500VA</t>
        </is>
      </c>
      <c r="Q21" s="57" t="n">
        <v>0.0149</v>
      </c>
      <c r="R21" s="57" t="n">
        <v>0.92017</v>
      </c>
      <c r="S21" s="58" t="n">
        <v>0</v>
      </c>
      <c r="T21" s="59" t="n">
        <v>1</v>
      </c>
      <c r="U21" s="60" t="n">
        <v>0</v>
      </c>
    </row>
    <row r="22" ht="18" customHeight="1">
      <c r="A22" s="61">
        <f>IF($I22&lt;=$B$9,"A",IF($I22&lt;=$B$10,"B","C"))</f>
        <v/>
      </c>
      <c r="B22" s="62" t="inlineStr">
        <is>
          <t>SKU11</t>
        </is>
      </c>
      <c r="C22" s="62" t="n">
        <v>20</v>
      </c>
      <c r="D22" s="63" t="inlineStr">
        <is>
          <t>HD Externo 2TB</t>
        </is>
      </c>
      <c r="E22" s="52" t="n">
        <v>18</v>
      </c>
      <c r="F22" s="53" t="n">
        <v>420</v>
      </c>
      <c r="G22" s="64">
        <f>IFERROR(E22*F22,0)</f>
        <v/>
      </c>
      <c r="H22" s="65">
        <f>IFERROR(G22/SUM($G$12:$G$31),0)</f>
        <v/>
      </c>
      <c r="I22" s="65">
        <f>IFERROR(SUMIF($G$12:$G$31,"&gt;="&amp;G22,$G$12:$G$31)/SUM($G$12:$G$31),0)</f>
        <v/>
      </c>
      <c r="P22" s="56" t="inlineStr">
        <is>
          <t>B — SKU11 — HD Externo 2TB</t>
        </is>
      </c>
      <c r="Q22" s="57" t="n">
        <v>0.01173</v>
      </c>
      <c r="R22" s="57" t="n">
        <v>0.93191</v>
      </c>
      <c r="S22" s="58" t="n">
        <v>0</v>
      </c>
      <c r="T22" s="59" t="n">
        <v>1</v>
      </c>
      <c r="U22" s="60" t="n">
        <v>0</v>
      </c>
    </row>
    <row r="23" ht="18" customHeight="1">
      <c r="A23" s="61">
        <f>IF($I23&lt;=$B$9,"A",IF($I23&lt;=$B$10,"B","C"))</f>
        <v/>
      </c>
      <c r="B23" s="62" t="inlineStr">
        <is>
          <t>SKU12</t>
        </is>
      </c>
      <c r="C23" s="62" t="n">
        <v>5</v>
      </c>
      <c r="D23" s="63" t="inlineStr">
        <is>
          <t>Teclado Mecanico RGB</t>
        </is>
      </c>
      <c r="E23" s="52" t="n">
        <v>30</v>
      </c>
      <c r="F23" s="53" t="n">
        <v>250</v>
      </c>
      <c r="G23" s="64">
        <f>IFERROR(E23*F23,0)</f>
        <v/>
      </c>
      <c r="H23" s="65">
        <f>IFERROR(G23/SUM($G$12:$G$31),0)</f>
        <v/>
      </c>
      <c r="I23" s="65">
        <f>IFERROR(SUMIF($G$12:$G$31,"&gt;="&amp;G23,$G$12:$G$31)/SUM($G$12:$G$31),0)</f>
        <v/>
      </c>
      <c r="P23" s="56" t="inlineStr">
        <is>
          <t>B — SKU12 — Teclado Mecanico RGB</t>
        </is>
      </c>
      <c r="Q23" s="57" t="n">
        <v>0.01164</v>
      </c>
      <c r="R23" s="57" t="n">
        <v>0.94354</v>
      </c>
      <c r="S23" s="58" t="n">
        <v>0</v>
      </c>
      <c r="T23" s="59" t="n">
        <v>1</v>
      </c>
      <c r="U23" s="60" t="n">
        <v>0</v>
      </c>
    </row>
    <row r="24" ht="18" customHeight="1">
      <c r="A24" s="66">
        <f>IF($I24&lt;=$B$9,"A",IF($I24&lt;=$B$10,"B","C"))</f>
        <v/>
      </c>
      <c r="B24" s="67" t="inlineStr">
        <is>
          <t>SKU13</t>
        </is>
      </c>
      <c r="C24" s="67" t="n">
        <v>9</v>
      </c>
      <c r="D24" s="68" t="inlineStr">
        <is>
          <t>Pen Drive 64GB</t>
        </is>
      </c>
      <c r="E24" s="52" t="n">
        <v>160</v>
      </c>
      <c r="F24" s="53" t="n">
        <v>45</v>
      </c>
      <c r="G24" s="69">
        <f>IFERROR(E24*F24,0)</f>
        <v/>
      </c>
      <c r="H24" s="70">
        <f>IFERROR(G24/SUM($G$12:$G$31),0)</f>
        <v/>
      </c>
      <c r="I24" s="70">
        <f>IFERROR(SUMIF($G$12:$G$31,"&gt;="&amp;G24,$G$12:$G$31)/SUM($G$12:$G$31),0)</f>
        <v/>
      </c>
      <c r="P24" s="56" t="inlineStr">
        <is>
          <t>C — SKU13 — Pen Drive 64GB</t>
        </is>
      </c>
      <c r="Q24" s="57" t="n">
        <v>0.01117</v>
      </c>
      <c r="R24" s="57" t="n">
        <v>0.95472</v>
      </c>
      <c r="S24" s="58" t="n">
        <v>0</v>
      </c>
      <c r="T24" s="59" t="n">
        <v>0</v>
      </c>
      <c r="U24" s="60" t="n">
        <v>1</v>
      </c>
    </row>
    <row r="25" ht="18" customHeight="1">
      <c r="A25" s="66">
        <f>IF($I25&lt;=$B$9,"A",IF($I25&lt;=$B$10,"B","C"))</f>
        <v/>
      </c>
      <c r="B25" s="67" t="inlineStr">
        <is>
          <t>SKU14</t>
        </is>
      </c>
      <c r="C25" s="67" t="n">
        <v>13</v>
      </c>
      <c r="D25" s="68" t="inlineStr">
        <is>
          <t>Headset com Microfone</t>
        </is>
      </c>
      <c r="E25" s="52" t="n">
        <v>64</v>
      </c>
      <c r="F25" s="53" t="n">
        <v>110</v>
      </c>
      <c r="G25" s="69">
        <f>IFERROR(E25*F25,0)</f>
        <v/>
      </c>
      <c r="H25" s="70">
        <f>IFERROR(G25/SUM($G$12:$G$31),0)</f>
        <v/>
      </c>
      <c r="I25" s="70">
        <f>IFERROR(SUMIF($G$12:$G$31,"&gt;="&amp;G25,$G$12:$G$31)/SUM($G$12:$G$31),0)</f>
        <v/>
      </c>
      <c r="P25" s="56" t="inlineStr">
        <is>
          <t>C — SKU14 — Headset com Microfone</t>
        </is>
      </c>
      <c r="Q25" s="57" t="n">
        <v>0.01093</v>
      </c>
      <c r="R25" s="57" t="n">
        <v>0.96565</v>
      </c>
      <c r="S25" s="58" t="n">
        <v>0</v>
      </c>
      <c r="T25" s="59" t="n">
        <v>0</v>
      </c>
      <c r="U25" s="60" t="n">
        <v>1</v>
      </c>
    </row>
    <row r="26" ht="18" customHeight="1">
      <c r="A26" s="66">
        <f>IF($I26&lt;=$B$9,"A",IF($I26&lt;=$B$10,"B","C"))</f>
        <v/>
      </c>
      <c r="B26" s="67" t="inlineStr">
        <is>
          <t>SKU15</t>
        </is>
      </c>
      <c r="C26" s="67" t="n">
        <v>7</v>
      </c>
      <c r="D26" s="68" t="inlineStr">
        <is>
          <t>Pacote de Papel A4</t>
        </is>
      </c>
      <c r="E26" s="52" t="n">
        <v>237</v>
      </c>
      <c r="F26" s="53" t="n">
        <v>28</v>
      </c>
      <c r="G26" s="69">
        <f>IFERROR(E26*F26,0)</f>
        <v/>
      </c>
      <c r="H26" s="70">
        <f>IFERROR(G26/SUM($G$12:$G$31),0)</f>
        <v/>
      </c>
      <c r="I26" s="70">
        <f>IFERROR(SUMIF($G$12:$G$31,"&gt;="&amp;G26,$G$12:$G$31)/SUM($G$12:$G$31),0)</f>
        <v/>
      </c>
      <c r="P26" s="56" t="inlineStr">
        <is>
          <t>C — SKU15 — Pacote de Papel A4</t>
        </is>
      </c>
      <c r="Q26" s="57" t="n">
        <v>0.0103</v>
      </c>
      <c r="R26" s="57" t="n">
        <v>0.97594</v>
      </c>
      <c r="S26" s="58" t="n">
        <v>0</v>
      </c>
      <c r="T26" s="59" t="n">
        <v>0</v>
      </c>
      <c r="U26" s="60" t="n">
        <v>1</v>
      </c>
    </row>
    <row r="27" ht="18" customHeight="1">
      <c r="A27" s="66">
        <f>IF($I27&lt;=$B$9,"A",IF($I27&lt;=$B$10,"B","C"))</f>
        <v/>
      </c>
      <c r="B27" s="67" t="inlineStr">
        <is>
          <t>SKU16</t>
        </is>
      </c>
      <c r="C27" s="67" t="n">
        <v>18</v>
      </c>
      <c r="D27" s="68" t="inlineStr">
        <is>
          <t>Filtro de Linha 5 Tom.</t>
        </is>
      </c>
      <c r="E27" s="52" t="n">
        <v>110</v>
      </c>
      <c r="F27" s="53" t="n">
        <v>40</v>
      </c>
      <c r="G27" s="69">
        <f>IFERROR(E27*F27,0)</f>
        <v/>
      </c>
      <c r="H27" s="70">
        <f>IFERROR(G27/SUM($G$12:$G$31),0)</f>
        <v/>
      </c>
      <c r="I27" s="70">
        <f>IFERROR(SUMIF($G$12:$G$31,"&gt;="&amp;G27,$G$12:$G$31)/SUM($G$12:$G$31),0)</f>
        <v/>
      </c>
      <c r="P27" s="56" t="inlineStr">
        <is>
          <t>C — SKU16 — Filtro de Linha 5 Tom.</t>
        </is>
      </c>
      <c r="Q27" s="57" t="n">
        <v>0.00683</v>
      </c>
      <c r="R27" s="57" t="n">
        <v>0.98277</v>
      </c>
      <c r="S27" s="58" t="n">
        <v>0</v>
      </c>
      <c r="T27" s="59" t="n">
        <v>0</v>
      </c>
      <c r="U27" s="60" t="n">
        <v>1</v>
      </c>
    </row>
    <row r="28" ht="18" customHeight="1">
      <c r="A28" s="66">
        <f>IF($I28&lt;=$B$9,"A",IF($I28&lt;=$B$10,"B","C"))</f>
        <v/>
      </c>
      <c r="B28" s="67" t="inlineStr">
        <is>
          <t>SKU17</t>
        </is>
      </c>
      <c r="C28" s="67" t="n">
        <v>1</v>
      </c>
      <c r="D28" s="68" t="inlineStr">
        <is>
          <t>Cabo HDMI 2m</t>
        </is>
      </c>
      <c r="E28" s="52" t="n">
        <v>150</v>
      </c>
      <c r="F28" s="53" t="n">
        <v>25</v>
      </c>
      <c r="G28" s="69">
        <f>IFERROR(E28*F28,0)</f>
        <v/>
      </c>
      <c r="H28" s="70">
        <f>IFERROR(G28/SUM($G$12:$G$31),0)</f>
        <v/>
      </c>
      <c r="I28" s="70">
        <f>IFERROR(SUMIF($G$12:$G$31,"&gt;="&amp;G28,$G$12:$G$31)/SUM($G$12:$G$31),0)</f>
        <v/>
      </c>
      <c r="P28" s="56" t="inlineStr">
        <is>
          <t>C — SKU17 — Cabo HDMI 2m</t>
        </is>
      </c>
      <c r="Q28" s="57" t="n">
        <v>0.00582</v>
      </c>
      <c r="R28" s="57" t="n">
        <v>0.98859</v>
      </c>
      <c r="S28" s="58" t="n">
        <v>0</v>
      </c>
      <c r="T28" s="59" t="n">
        <v>0</v>
      </c>
      <c r="U28" s="60" t="n">
        <v>1</v>
      </c>
    </row>
    <row r="29" ht="18" customHeight="1">
      <c r="A29" s="66">
        <f>IF($I29&lt;=$B$9,"A",IF($I29&lt;=$B$10,"B","C"))</f>
        <v/>
      </c>
      <c r="B29" s="67" t="inlineStr">
        <is>
          <t>SKU18</t>
        </is>
      </c>
      <c r="C29" s="67" t="n">
        <v>16</v>
      </c>
      <c r="D29" s="68" t="inlineStr">
        <is>
          <t>Adaptador USB-C</t>
        </is>
      </c>
      <c r="E29" s="52" t="n">
        <v>90</v>
      </c>
      <c r="F29" s="53" t="n">
        <v>35</v>
      </c>
      <c r="G29" s="69">
        <f>IFERROR(E29*F29,0)</f>
        <v/>
      </c>
      <c r="H29" s="70">
        <f>IFERROR(G29/SUM($G$12:$G$31),0)</f>
        <v/>
      </c>
      <c r="I29" s="70">
        <f>IFERROR(SUMIF($G$12:$G$31,"&gt;="&amp;G29,$G$12:$G$31)/SUM($G$12:$G$31),0)</f>
        <v/>
      </c>
      <c r="P29" s="56" t="inlineStr">
        <is>
          <t>C — SKU18 — Adaptador USB-C</t>
        </is>
      </c>
      <c r="Q29" s="57" t="n">
        <v>0.00489</v>
      </c>
      <c r="R29" s="57" t="n">
        <v>0.99348</v>
      </c>
      <c r="S29" s="58" t="n">
        <v>0</v>
      </c>
      <c r="T29" s="59" t="n">
        <v>0</v>
      </c>
      <c r="U29" s="60" t="n">
        <v>1</v>
      </c>
    </row>
    <row r="30" ht="18" customHeight="1">
      <c r="A30" s="66">
        <f>IF($I30&lt;=$B$9,"A",IF($I30&lt;=$B$10,"B","C"))</f>
        <v/>
      </c>
      <c r="B30" s="67" t="inlineStr">
        <is>
          <t>SKU19</t>
        </is>
      </c>
      <c r="C30" s="67" t="n">
        <v>3</v>
      </c>
      <c r="D30" s="68" t="inlineStr">
        <is>
          <t>Mouse Optico Simples</t>
        </is>
      </c>
      <c r="E30" s="52" t="n">
        <v>120</v>
      </c>
      <c r="F30" s="53" t="n">
        <v>15</v>
      </c>
      <c r="G30" s="69">
        <f>IFERROR(E30*F30,0)</f>
        <v/>
      </c>
      <c r="H30" s="70">
        <f>IFERROR(G30/SUM($G$12:$G$31),0)</f>
        <v/>
      </c>
      <c r="I30" s="70">
        <f>IFERROR(SUMIF($G$12:$G$31,"&gt;="&amp;G30,$G$12:$G$31)/SUM($G$12:$G$31),0)</f>
        <v/>
      </c>
      <c r="P30" s="56" t="inlineStr">
        <is>
          <t>C — SKU20 — Patch Cord RJ45 1m</t>
        </is>
      </c>
      <c r="Q30" s="57" t="n">
        <v>0.00372</v>
      </c>
      <c r="R30" s="57" t="n">
        <v>0.99721</v>
      </c>
      <c r="S30" s="58" t="n">
        <v>0</v>
      </c>
      <c r="T30" s="59" t="n">
        <v>0</v>
      </c>
      <c r="U30" s="60" t="n">
        <v>1</v>
      </c>
    </row>
    <row r="31" ht="18" customHeight="1">
      <c r="A31" s="66">
        <f>IF($I31&lt;=$B$9,"A",IF($I31&lt;=$B$10,"B","C"))</f>
        <v/>
      </c>
      <c r="B31" s="67" t="inlineStr">
        <is>
          <t>SKU20</t>
        </is>
      </c>
      <c r="C31" s="67" t="n">
        <v>8</v>
      </c>
      <c r="D31" s="68" t="inlineStr">
        <is>
          <t>Patch Cord RJ45 1m</t>
        </is>
      </c>
      <c r="E31" s="52" t="n">
        <v>200</v>
      </c>
      <c r="F31" s="53" t="n">
        <v>12</v>
      </c>
      <c r="G31" s="69">
        <f>IFERROR(E31*F31,0)</f>
        <v/>
      </c>
      <c r="H31" s="70">
        <f>IFERROR(G31/SUM($G$12:$G$31),0)</f>
        <v/>
      </c>
      <c r="I31" s="70">
        <f>IFERROR(SUMIF($G$12:$G$31,"&gt;="&amp;G31,$G$12:$G$31)/SUM($G$12:$G$31),0)</f>
        <v/>
      </c>
      <c r="P31" s="56" t="inlineStr">
        <is>
          <t>C — SKU19 — Mouse Optico Simples</t>
        </is>
      </c>
      <c r="Q31" s="57" t="n">
        <v>0.00279</v>
      </c>
      <c r="R31" s="57" t="n">
        <v>1</v>
      </c>
      <c r="S31" s="58" t="n">
        <v>0</v>
      </c>
      <c r="T31" s="59" t="n">
        <v>0</v>
      </c>
      <c r="U31" s="60" t="n">
        <v>1</v>
      </c>
    </row>
    <row r="32" ht="22" customHeight="1">
      <c r="A32" s="71" t="inlineStr">
        <is>
          <t>TOTAL GERAL</t>
        </is>
      </c>
      <c r="B32" s="72" t="n"/>
      <c r="C32" s="72" t="n"/>
      <c r="D32" s="72" t="n"/>
      <c r="E32" s="73">
        <f>SUM(E12:E31)</f>
        <v/>
      </c>
      <c r="F32" s="74" t="n"/>
      <c r="G32" s="75">
        <f>SUM(G12:G31)</f>
        <v/>
      </c>
      <c r="H32" s="76" t="n">
        <v>1</v>
      </c>
      <c r="I32" s="76" t="n">
        <v>1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F0B1"/>
  <mergeCells count="20">
    <mergeCell ref="C6:D6"/>
    <mergeCell ref="C5:D5"/>
    <mergeCell ref="E5:F5"/>
    <mergeCell ref="J1:N1"/>
    <mergeCell ref="A6:B6"/>
    <mergeCell ref="C4:D4"/>
    <mergeCell ref="E4:F4"/>
    <mergeCell ref="A8:I8"/>
    <mergeCell ref="G6:H6"/>
    <mergeCell ref="A3:B3"/>
    <mergeCell ref="G3:H3"/>
    <mergeCell ref="E6:F6"/>
    <mergeCell ref="A5:B5"/>
    <mergeCell ref="G5:H5"/>
    <mergeCell ref="A4:B4"/>
    <mergeCell ref="G4:H4"/>
    <mergeCell ref="A1:I1"/>
    <mergeCell ref="C3:D3"/>
    <mergeCell ref="A32:D32"/>
    <mergeCell ref="E3:F3"/>
  </mergeCells>
  <conditionalFormatting sqref="A12:I31">
    <cfRule type="expression" priority="1" dxfId="0">
      <formula>$A12="A"</formula>
    </cfRule>
    <cfRule type="expression" priority="2" dxfId="1">
      <formula>$A12="B"</formula>
    </cfRule>
    <cfRule type="expression" priority="3" dxfId="2">
      <formula>$A12="C"</formula>
    </cfRule>
  </conditionalFormatting>
  <dataValidations count="2">
    <dataValidation sqref="B9" showDropDown="0" showInputMessage="0" showErrorMessage="1" allowBlank="0" errorTitle="❌ Valor Inválido" error="Limite A: entre 50% e 89%" type="decimal" operator="between">
      <formula1>0.5</formula1>
      <formula2>0.89</formula2>
    </dataValidation>
    <dataValidation sqref="B10" showDropDown="0" showInputMessage="0" showErrorMessage="1" allowBlank="0" errorTitle="❌ Valor Inválido" error="Limite B: entre 50% e 99%" type="decimal" operator="between">
      <formula1>0.5</formula1>
      <formula2>0.99</formula2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990000"/>
    <outlinePr summaryBelow="1" summaryRight="1"/>
    <pageSetUpPr/>
  </sheetPr>
  <dimension ref="A1:U42"/>
  <sheetViews>
    <sheetView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8" customWidth="1" min="3" max="3"/>
    <col width="30" customWidth="1" min="4" max="4"/>
    <col width="10" customWidth="1" min="5" max="5"/>
    <col width="14" customWidth="1" min="6" max="6"/>
    <col width="16" customWidth="1" min="7" max="7"/>
    <col width="12" customWidth="1" min="8" max="8"/>
    <col width="12" customWidth="1" min="9" max="9"/>
    <col width="2" customWidth="1" min="10" max="10"/>
    <col width="11" customWidth="1" min="11" max="11"/>
    <col width="16" customWidth="1" min="12" max="12"/>
    <col width="10" customWidth="1" min="13" max="13"/>
    <col width="10" customWidth="1" min="14" max="14"/>
    <col width="2" customWidth="1" min="15" max="15"/>
    <col width="28" customWidth="1" min="16" max="16"/>
    <col width="13" customWidth="1" min="17" max="17"/>
    <col width="13" customWidth="1" min="18" max="18"/>
    <col width="10" customWidth="1" min="19" max="19"/>
    <col width="10" customWidth="1" min="20" max="20"/>
    <col width="10" customWidth="1" min="21" max="21"/>
  </cols>
  <sheetData>
    <row r="1" ht="52" customHeight="1">
      <c r="A1" s="1" t="inlineStr">
        <is>
          <t>🇯🇲  CURVA ABC REGGAE — ABA 02  —  One Love, One Excel! ✌️</t>
        </is>
      </c>
      <c r="J1" s="2" t="inlineStr">
        <is>
          <t>🟢 A=até 80%  |  🟡 B=80-95%  |  🔴 C=95-100%</t>
        </is>
      </c>
    </row>
    <row r="2" ht="8" customHeight="1">
      <c r="A2" s="3" t="n"/>
      <c r="B2" s="4" t="n"/>
      <c r="C2" s="5" t="n"/>
      <c r="D2" s="6" t="n"/>
      <c r="E2" s="3" t="n"/>
      <c r="F2" s="4" t="n"/>
      <c r="G2" s="5" t="n"/>
      <c r="H2" s="6" t="n"/>
      <c r="I2" s="3" t="n"/>
    </row>
    <row r="3" ht="26" customHeight="1">
      <c r="A3" s="7" t="inlineStr">
        <is>
          <t>💰 V.T. TOTAL</t>
        </is>
      </c>
      <c r="B3" s="8" t="n"/>
      <c r="C3" s="9" t="inlineStr">
        <is>
          <t>🟢 V.T. CLASSE A</t>
        </is>
      </c>
      <c r="D3" s="8" t="n"/>
      <c r="E3" s="10" t="inlineStr">
        <is>
          <t>🟡 V.T. CLASSE B</t>
        </is>
      </c>
      <c r="F3" s="8" t="n"/>
      <c r="G3" s="9" t="inlineStr">
        <is>
          <t>🔴 MAIOR V.T.</t>
        </is>
      </c>
      <c r="H3" s="8" t="n"/>
      <c r="I3" s="11" t="n"/>
    </row>
    <row r="4" ht="30" customHeight="1">
      <c r="A4" s="12">
        <f>SUM($G$12:$G$41)</f>
        <v/>
      </c>
      <c r="B4" s="13" t="n"/>
      <c r="C4" s="14">
        <f>SUMIF($A$12:$A$41,"A",$G$12:$G$41)</f>
        <v/>
      </c>
      <c r="D4" s="13" t="n"/>
      <c r="E4" s="15">
        <f>SUMIF($A$12:$A$41,"B",$G$12:$G$41)</f>
        <v/>
      </c>
      <c r="F4" s="13" t="n"/>
      <c r="G4" s="16">
        <f>MAX($G$12:$G$41)</f>
        <v/>
      </c>
      <c r="H4" s="13" t="n"/>
      <c r="I4" s="17" t="n"/>
    </row>
    <row r="5" ht="26" customHeight="1">
      <c r="A5" s="18" t="inlineStr">
        <is>
          <t>📦 TOTAL ITENS</t>
        </is>
      </c>
      <c r="B5" s="13" t="n"/>
      <c r="C5" s="19" t="inlineStr">
        <is>
          <t>% ITENS CLASSE A</t>
        </is>
      </c>
      <c r="D5" s="13" t="n"/>
      <c r="E5" s="19" t="inlineStr">
        <is>
          <t>🔴 V.T. CLASSE C</t>
        </is>
      </c>
      <c r="F5" s="13" t="n"/>
      <c r="G5" s="19" t="inlineStr">
        <is>
          <t>✅ STATUS</t>
        </is>
      </c>
      <c r="H5" s="13" t="n"/>
      <c r="I5" s="17" t="n"/>
    </row>
    <row r="6" ht="30" customHeight="1">
      <c r="A6" s="20">
        <f>COUNTA($D$12:$D$41)</f>
        <v/>
      </c>
      <c r="B6" s="21" t="n"/>
      <c r="C6" s="22">
        <f>IFERROR(COUNTIF($A$12:$A$41,"A")/COUNTA($D$12:$D$41),0)</f>
        <v/>
      </c>
      <c r="D6" s="21" t="n"/>
      <c r="E6" s="23">
        <f>SUMIF($A$12:$A$41,"C",$G$12:$G$41)</f>
        <v/>
      </c>
      <c r="F6" s="21" t="n"/>
      <c r="G6" s="24">
        <f>IF(IFERROR(MAX($I$12:$I$41),0)&gt;1.001,"⚠️ VERIFICAR","✅ OK")</f>
        <v/>
      </c>
      <c r="H6" s="21" t="n"/>
      <c r="I6" s="25" t="n"/>
    </row>
    <row r="7" ht="8" customHeight="1">
      <c r="A7" s="5" t="n"/>
      <c r="B7" s="4" t="n"/>
      <c r="C7" s="3" t="n"/>
      <c r="D7" s="6" t="n"/>
      <c r="E7" s="5" t="n"/>
      <c r="F7" s="4" t="n"/>
      <c r="G7" s="3" t="n"/>
      <c r="H7" s="6" t="n"/>
      <c r="I7" s="5" t="n"/>
    </row>
    <row r="8" ht="22" customHeight="1">
      <c r="A8" s="26" t="inlineStr">
        <is>
          <t xml:space="preserve">  🌿  Edite somente Qtd. (col F) e Custo Unit. (col G)  |  Limites: E9=Classe A (80%)  E10=Classe B (95%)</t>
        </is>
      </c>
      <c r="K8" s="27" t="inlineStr">
        <is>
          <t>Classe</t>
        </is>
      </c>
      <c r="L8" s="27" t="inlineStr">
        <is>
          <t>Total V.T.</t>
        </is>
      </c>
      <c r="M8" s="27" t="inlineStr">
        <is>
          <t>% Total</t>
        </is>
      </c>
      <c r="N8" s="27" t="inlineStr">
        <is>
          <t>Qtd.</t>
        </is>
      </c>
    </row>
    <row r="9" ht="22" customHeight="1">
      <c r="A9" s="28" t="inlineStr">
        <is>
          <t>Limite A:</t>
        </is>
      </c>
      <c r="B9" s="29" t="n">
        <v>0.8</v>
      </c>
      <c r="K9" s="30" t="inlineStr">
        <is>
          <t>A</t>
        </is>
      </c>
      <c r="L9" s="31">
        <f>SUMIF($A$12:$A$41,"A",$G$12:$G$41)</f>
        <v/>
      </c>
      <c r="M9" s="32">
        <f>IFERROR(L9/SUM($G$12:$G$41),0)</f>
        <v/>
      </c>
      <c r="N9" s="33">
        <f>COUNTIF($A$12:$A$41,"A")</f>
        <v/>
      </c>
    </row>
    <row r="10" ht="22" customHeight="1">
      <c r="A10" s="34" t="inlineStr">
        <is>
          <t>Limite B:</t>
        </is>
      </c>
      <c r="B10" s="35" t="n">
        <v>0.95</v>
      </c>
      <c r="K10" s="36" t="inlineStr">
        <is>
          <t>B</t>
        </is>
      </c>
      <c r="L10" s="37">
        <f>SUMIF($A$12:$A$41,"B",$G$12:$G$41)</f>
        <v/>
      </c>
      <c r="M10" s="38">
        <f>IFERROR(L10/SUM($G$12:$G$41),0)</f>
        <v/>
      </c>
      <c r="N10" s="39">
        <f>COUNTIF($A$12:$A$41,"B")</f>
        <v/>
      </c>
    </row>
    <row r="11" ht="22" customHeight="1">
      <c r="A11" s="40" t="inlineStr">
        <is>
          <t>ABC</t>
        </is>
      </c>
      <c r="B11" s="41" t="inlineStr">
        <is>
          <t>SKU</t>
        </is>
      </c>
      <c r="C11" s="41" t="inlineStr">
        <is>
          <t>Cod.</t>
        </is>
      </c>
      <c r="D11" s="42" t="inlineStr">
        <is>
          <t>Descrição do Item</t>
        </is>
      </c>
      <c r="E11" s="43" t="inlineStr">
        <is>
          <t>Qtd.</t>
        </is>
      </c>
      <c r="F11" s="43" t="inlineStr">
        <is>
          <t>Custo Unit.(R$)</t>
        </is>
      </c>
      <c r="G11" s="40" t="inlineStr">
        <is>
          <t>V.T. (R$)</t>
        </is>
      </c>
      <c r="H11" s="41" t="inlineStr">
        <is>
          <t>% Individual</t>
        </is>
      </c>
      <c r="I11" s="41" t="inlineStr">
        <is>
          <t>% Acumulado</t>
        </is>
      </c>
      <c r="K11" s="44" t="inlineStr">
        <is>
          <t>C</t>
        </is>
      </c>
      <c r="L11" s="45">
        <f>SUMIF($A$12:$A$41,"C",$G$12:$G$41)</f>
        <v/>
      </c>
      <c r="M11" s="46">
        <f>IFERROR(L11/SUM($G$12:$G$41),0)</f>
        <v/>
      </c>
      <c r="N11" s="47">
        <f>COUNTIF($A$12:$A$41,"C")</f>
        <v/>
      </c>
      <c r="P11" s="48" t="inlineStr">
        <is>
          <t>Rótulo X</t>
        </is>
      </c>
      <c r="Q11" s="48" t="inlineStr">
        <is>
          <t>% Ind</t>
        </is>
      </c>
      <c r="R11" s="48" t="inlineStr">
        <is>
          <t>% Acc</t>
        </is>
      </c>
      <c r="S11" s="48" t="inlineStr">
        <is>
          <t>ZonaA</t>
        </is>
      </c>
      <c r="T11" s="48" t="inlineStr">
        <is>
          <t>ZonaB</t>
        </is>
      </c>
      <c r="U11" s="48" t="inlineStr">
        <is>
          <t>ZonaC</t>
        </is>
      </c>
    </row>
    <row r="12" ht="18" customHeight="1">
      <c r="A12" s="49">
        <f>IF($I12&lt;=$B$9,"A",IF($I12&lt;=$B$10,"B","C"))</f>
        <v/>
      </c>
      <c r="B12" s="50" t="inlineStr">
        <is>
          <t>SKU01</t>
        </is>
      </c>
      <c r="C12" s="50" t="n">
        <v>2</v>
      </c>
      <c r="D12" s="51" t="inlineStr">
        <is>
          <t>Servidor Rack Dell Pro</t>
        </is>
      </c>
      <c r="E12" s="52" t="n">
        <v>15</v>
      </c>
      <c r="F12" s="53" t="n">
        <v>22500</v>
      </c>
      <c r="G12" s="54">
        <f>IFERROR(E12*F12,0)</f>
        <v/>
      </c>
      <c r="H12" s="55">
        <f>IFERROR(G12/SUM($G$12:$G$41),0)</f>
        <v/>
      </c>
      <c r="I12" s="55">
        <f>IFERROR(SUMIF($G$12:$G$41,"&gt;="&amp;G12,$G$12:$G$41)/SUM($G$12:$G$41),0)</f>
        <v/>
      </c>
      <c r="P12" s="56" t="inlineStr">
        <is>
          <t>A — SKU01 — Servidor Rack Dell Pro</t>
        </is>
      </c>
      <c r="Q12" s="57" t="n">
        <v>0.32488</v>
      </c>
      <c r="R12" s="57" t="n">
        <v>0.32488</v>
      </c>
      <c r="S12" s="58" t="n">
        <v>1</v>
      </c>
      <c r="T12" s="59" t="n">
        <v>0</v>
      </c>
      <c r="U12" s="60" t="n">
        <v>0</v>
      </c>
    </row>
    <row r="13" ht="18" customHeight="1">
      <c r="A13" s="49">
        <f>IF($I13&lt;=$B$9,"A",IF($I13&lt;=$B$10,"B","C"))</f>
        <v/>
      </c>
      <c r="B13" s="50" t="inlineStr">
        <is>
          <t>SKU02</t>
        </is>
      </c>
      <c r="C13" s="50" t="n">
        <v>17</v>
      </c>
      <c r="D13" s="51" t="inlineStr">
        <is>
          <t>Workstation Grafica</t>
        </is>
      </c>
      <c r="E13" s="52" t="n">
        <v>19</v>
      </c>
      <c r="F13" s="53" t="n">
        <v>12000</v>
      </c>
      <c r="G13" s="54">
        <f>IFERROR(E13*F13,0)</f>
        <v/>
      </c>
      <c r="H13" s="55">
        <f>IFERROR(G13/SUM($G$12:$G$41),0)</f>
        <v/>
      </c>
      <c r="I13" s="55">
        <f>IFERROR(SUMIF($G$12:$G$41,"&gt;="&amp;G13,$G$12:$G$41)/SUM($G$12:$G$41),0)</f>
        <v/>
      </c>
      <c r="P13" s="56" t="inlineStr">
        <is>
          <t>A — SKU02 — Workstation Grafica</t>
        </is>
      </c>
      <c r="Q13" s="57" t="n">
        <v>0.21947</v>
      </c>
      <c r="R13" s="57" t="n">
        <v>0.54435</v>
      </c>
      <c r="S13" s="58" t="n">
        <v>1</v>
      </c>
      <c r="T13" s="59" t="n">
        <v>0</v>
      </c>
      <c r="U13" s="60" t="n">
        <v>0</v>
      </c>
    </row>
    <row r="14" ht="18" customHeight="1">
      <c r="A14" s="49">
        <f>IF($I14&lt;=$B$9,"A",IF($I14&lt;=$B$10,"B","C"))</f>
        <v/>
      </c>
      <c r="B14" s="50" t="inlineStr">
        <is>
          <t>SKU03</t>
        </is>
      </c>
      <c r="C14" s="50" t="n">
        <v>10</v>
      </c>
      <c r="D14" s="51" t="inlineStr">
        <is>
          <t>Notebook i7 32GB RAM</t>
        </is>
      </c>
      <c r="E14" s="52" t="n">
        <v>28</v>
      </c>
      <c r="F14" s="53" t="n">
        <v>7200</v>
      </c>
      <c r="G14" s="54">
        <f>IFERROR(E14*F14,0)</f>
        <v/>
      </c>
      <c r="H14" s="55">
        <f>IFERROR(G14/SUM($G$12:$G$41),0)</f>
        <v/>
      </c>
      <c r="I14" s="55">
        <f>IFERROR(SUMIF($G$12:$G$41,"&gt;="&amp;G14,$G$12:$G$41)/SUM($G$12:$G$41),0)</f>
        <v/>
      </c>
      <c r="P14" s="56" t="inlineStr">
        <is>
          <t>A — SKU03 — Notebook i7 32GB RAM</t>
        </is>
      </c>
      <c r="Q14" s="57" t="n">
        <v>0.19406</v>
      </c>
      <c r="R14" s="57" t="n">
        <v>0.73842</v>
      </c>
      <c r="S14" s="58" t="n">
        <v>1</v>
      </c>
      <c r="T14" s="59" t="n">
        <v>0</v>
      </c>
      <c r="U14" s="60" t="n">
        <v>0</v>
      </c>
    </row>
    <row r="15" ht="18" customHeight="1">
      <c r="A15" s="49">
        <f>IF($I15&lt;=$B$9,"A",IF($I15&lt;=$B$10,"B","C"))</f>
        <v/>
      </c>
      <c r="B15" s="50" t="inlineStr">
        <is>
          <t>SKU04</t>
        </is>
      </c>
      <c r="C15" s="50" t="n">
        <v>8</v>
      </c>
      <c r="D15" s="51" t="inlineStr">
        <is>
          <t>Switch Gerenciavel 48p</t>
        </is>
      </c>
      <c r="E15" s="52" t="n">
        <v>10</v>
      </c>
      <c r="F15" s="53" t="n">
        <v>4800</v>
      </c>
      <c r="G15" s="54">
        <f>IFERROR(E15*F15,0)</f>
        <v/>
      </c>
      <c r="H15" s="55">
        <f>IFERROR(G15/SUM($G$12:$G$41),0)</f>
        <v/>
      </c>
      <c r="I15" s="55">
        <f>IFERROR(SUMIF($G$12:$G$41,"&gt;="&amp;G15,$G$12:$G$41)/SUM($G$12:$G$41),0)</f>
        <v/>
      </c>
      <c r="P15" s="56" t="inlineStr">
        <is>
          <t>A — SKU04 — Switch Gerenciavel 48p</t>
        </is>
      </c>
      <c r="Q15" s="57" t="n">
        <v>0.04621</v>
      </c>
      <c r="R15" s="57" t="n">
        <v>0.78462</v>
      </c>
      <c r="S15" s="58" t="n">
        <v>1</v>
      </c>
      <c r="T15" s="59" t="n">
        <v>0</v>
      </c>
      <c r="U15" s="60" t="n">
        <v>0</v>
      </c>
    </row>
    <row r="16" ht="18" customHeight="1">
      <c r="A16" s="61">
        <f>IF($I16&lt;=$B$9,"A",IF($I16&lt;=$B$10,"B","C"))</f>
        <v/>
      </c>
      <c r="B16" s="62" t="inlineStr">
        <is>
          <t>SKU05</t>
        </is>
      </c>
      <c r="C16" s="62" t="n">
        <v>22</v>
      </c>
      <c r="D16" s="63" t="inlineStr">
        <is>
          <t>Placa de Video RTX</t>
        </is>
      </c>
      <c r="E16" s="52" t="n">
        <v>8</v>
      </c>
      <c r="F16" s="53" t="n">
        <v>5500</v>
      </c>
      <c r="G16" s="64">
        <f>IFERROR(E16*F16,0)</f>
        <v/>
      </c>
      <c r="H16" s="65">
        <f>IFERROR(G16/SUM($G$12:$G$41),0)</f>
        <v/>
      </c>
      <c r="I16" s="65">
        <f>IFERROR(SUMIF($G$12:$G$41,"&gt;="&amp;G16,$G$12:$G$41)/SUM($G$12:$G$41),0)</f>
        <v/>
      </c>
      <c r="P16" s="56" t="inlineStr">
        <is>
          <t>B — SKU05 — Placa de Video RTX</t>
        </is>
      </c>
      <c r="Q16" s="57" t="n">
        <v>0.04235</v>
      </c>
      <c r="R16" s="57" t="n">
        <v>0.82698</v>
      </c>
      <c r="S16" s="58" t="n">
        <v>0</v>
      </c>
      <c r="T16" s="59" t="n">
        <v>1</v>
      </c>
      <c r="U16" s="60" t="n">
        <v>0</v>
      </c>
    </row>
    <row r="17" ht="18" customHeight="1">
      <c r="A17" s="61">
        <f>IF($I17&lt;=$B$9,"A",IF($I17&lt;=$B$10,"B","C"))</f>
        <v/>
      </c>
      <c r="B17" s="62" t="inlineStr">
        <is>
          <t>SKU06</t>
        </is>
      </c>
      <c r="C17" s="62" t="n">
        <v>21</v>
      </c>
      <c r="D17" s="63" t="inlineStr">
        <is>
          <t>Storage NAS 40TB</t>
        </is>
      </c>
      <c r="E17" s="52" t="n">
        <v>2</v>
      </c>
      <c r="F17" s="53" t="n">
        <v>18500</v>
      </c>
      <c r="G17" s="64">
        <f>IFERROR(E17*F17,0)</f>
        <v/>
      </c>
      <c r="H17" s="65">
        <f>IFERROR(G17/SUM($G$12:$G$41),0)</f>
        <v/>
      </c>
      <c r="I17" s="65">
        <f>IFERROR(SUMIF($G$12:$G$41,"&gt;="&amp;G17,$G$12:$G$41)/SUM($G$12:$G$41),0)</f>
        <v/>
      </c>
      <c r="P17" s="56" t="inlineStr">
        <is>
          <t>B — SKU06 — Storage NAS 40TB</t>
        </is>
      </c>
      <c r="Q17" s="57" t="n">
        <v>0.03562</v>
      </c>
      <c r="R17" s="57" t="n">
        <v>0.86259</v>
      </c>
      <c r="S17" s="58" t="n">
        <v>0</v>
      </c>
      <c r="T17" s="59" t="n">
        <v>1</v>
      </c>
      <c r="U17" s="60" t="n">
        <v>0</v>
      </c>
    </row>
    <row r="18" ht="18" customHeight="1">
      <c r="A18" s="61">
        <f>IF($I18&lt;=$B$9,"A",IF($I18&lt;=$B$10,"B","C"))</f>
        <v/>
      </c>
      <c r="B18" s="62" t="inlineStr">
        <is>
          <t>SKU07</t>
        </is>
      </c>
      <c r="C18" s="62" t="n">
        <v>19</v>
      </c>
      <c r="D18" s="63" t="inlineStr">
        <is>
          <t>Memoria RAM 16GB</t>
        </is>
      </c>
      <c r="E18" s="52" t="n">
        <v>45</v>
      </c>
      <c r="F18" s="53" t="n">
        <v>380</v>
      </c>
      <c r="G18" s="64">
        <f>IFERROR(E18*F18,0)</f>
        <v/>
      </c>
      <c r="H18" s="65">
        <f>IFERROR(G18/SUM($G$12:$G$41),0)</f>
        <v/>
      </c>
      <c r="I18" s="65">
        <f>IFERROR(SUMIF($G$12:$G$41,"&gt;="&amp;G18,$G$12:$G$41)/SUM($G$12:$G$41),0)</f>
        <v/>
      </c>
      <c r="P18" s="56" t="inlineStr">
        <is>
          <t>B — SKU07 — Memoria RAM 16GB</t>
        </is>
      </c>
      <c r="Q18" s="57" t="n">
        <v>0.01646</v>
      </c>
      <c r="R18" s="57" t="n">
        <v>0.87905</v>
      </c>
      <c r="S18" s="58" t="n">
        <v>0</v>
      </c>
      <c r="T18" s="59" t="n">
        <v>1</v>
      </c>
      <c r="U18" s="60" t="n">
        <v>0</v>
      </c>
    </row>
    <row r="19" ht="18" customHeight="1">
      <c r="A19" s="61">
        <f>IF($I19&lt;=$B$9,"A",IF($I19&lt;=$B$10,"B","C"))</f>
        <v/>
      </c>
      <c r="B19" s="62" t="inlineStr">
        <is>
          <t>SKU08</t>
        </is>
      </c>
      <c r="C19" s="62" t="n">
        <v>12</v>
      </c>
      <c r="D19" s="63" t="inlineStr">
        <is>
          <t>Toner Impressora Laser</t>
        </is>
      </c>
      <c r="E19" s="52" t="n">
        <v>40</v>
      </c>
      <c r="F19" s="53" t="n">
        <v>320</v>
      </c>
      <c r="G19" s="64">
        <f>IFERROR(E19*F19,0)</f>
        <v/>
      </c>
      <c r="H19" s="65">
        <f>IFERROR(G19/SUM($G$12:$G$41),0)</f>
        <v/>
      </c>
      <c r="I19" s="65">
        <f>IFERROR(SUMIF($G$12:$G$41,"&gt;="&amp;G19,$G$12:$G$41)/SUM($G$12:$G$41),0)</f>
        <v/>
      </c>
      <c r="P19" s="56" t="inlineStr">
        <is>
          <t>B — SKU08 — Toner Impressora Laser</t>
        </is>
      </c>
      <c r="Q19" s="57" t="n">
        <v>0.01232</v>
      </c>
      <c r="R19" s="57" t="n">
        <v>0.89137</v>
      </c>
      <c r="S19" s="58" t="n">
        <v>0</v>
      </c>
      <c r="T19" s="59" t="n">
        <v>1</v>
      </c>
      <c r="U19" s="60" t="n">
        <v>0</v>
      </c>
    </row>
    <row r="20" ht="18" customHeight="1">
      <c r="A20" s="61">
        <f>IF($I20&lt;=$B$9,"A",IF($I20&lt;=$B$10,"B","C"))</f>
        <v/>
      </c>
      <c r="B20" s="62" t="inlineStr">
        <is>
          <t>SKU09</t>
        </is>
      </c>
      <c r="C20" s="62" t="n">
        <v>4</v>
      </c>
      <c r="D20" s="63" t="inlineStr">
        <is>
          <t>Monitor LED 24"</t>
        </is>
      </c>
      <c r="E20" s="52" t="n">
        <v>15</v>
      </c>
      <c r="F20" s="53" t="n">
        <v>850</v>
      </c>
      <c r="G20" s="64">
        <f>IFERROR(E20*F20,0)</f>
        <v/>
      </c>
      <c r="H20" s="65">
        <f>IFERROR(G20/SUM($G$12:$G$41),0)</f>
        <v/>
      </c>
      <c r="I20" s="65">
        <f>IFERROR(SUMIF($G$12:$G$41,"&gt;="&amp;G20,$G$12:$G$41)/SUM($G$12:$G$41),0)</f>
        <v/>
      </c>
      <c r="P20" s="56" t="inlineStr">
        <is>
          <t>B — SKU09 — Monitor LED 24"</t>
        </is>
      </c>
      <c r="Q20" s="57" t="n">
        <v>0.01227</v>
      </c>
      <c r="R20" s="57" t="n">
        <v>0.90365</v>
      </c>
      <c r="S20" s="58" t="n">
        <v>0</v>
      </c>
      <c r="T20" s="59" t="n">
        <v>1</v>
      </c>
      <c r="U20" s="60" t="n">
        <v>0</v>
      </c>
    </row>
    <row r="21" ht="18" customHeight="1">
      <c r="A21" s="61">
        <f>IF($I21&lt;=$B$9,"A",IF($I21&lt;=$B$10,"B","C"))</f>
        <v/>
      </c>
      <c r="B21" s="62" t="inlineStr">
        <is>
          <t>SKU10</t>
        </is>
      </c>
      <c r="C21" s="62" t="n">
        <v>11</v>
      </c>
      <c r="D21" s="63" t="inlineStr">
        <is>
          <t>Roteador Wi-Fi 6</t>
        </is>
      </c>
      <c r="E21" s="52" t="n">
        <v>25</v>
      </c>
      <c r="F21" s="53" t="n">
        <v>450</v>
      </c>
      <c r="G21" s="64">
        <f>IFERROR(E21*F21,0)</f>
        <v/>
      </c>
      <c r="H21" s="65">
        <f>IFERROR(G21/SUM($G$12:$G$41),0)</f>
        <v/>
      </c>
      <c r="I21" s="65">
        <f>IFERROR(SUMIF($G$12:$G$41,"&gt;="&amp;G21,$G$12:$G$41)/SUM($G$12:$G$41),0)</f>
        <v/>
      </c>
      <c r="P21" s="56" t="inlineStr">
        <is>
          <t>B — SKU10 — Roteador Wi-Fi 6</t>
        </is>
      </c>
      <c r="Q21" s="57" t="n">
        <v>0.01083</v>
      </c>
      <c r="R21" s="57" t="n">
        <v>0.91448</v>
      </c>
      <c r="S21" s="58" t="n">
        <v>0</v>
      </c>
      <c r="T21" s="59" t="n">
        <v>1</v>
      </c>
      <c r="U21" s="60" t="n">
        <v>0</v>
      </c>
    </row>
    <row r="22" ht="18" customHeight="1">
      <c r="A22" s="61">
        <f>IF($I22&lt;=$B$9,"A",IF($I22&lt;=$B$10,"B","C"))</f>
        <v/>
      </c>
      <c r="B22" s="62" t="inlineStr">
        <is>
          <t>SKU11</t>
        </is>
      </c>
      <c r="C22" s="62" t="n">
        <v>15</v>
      </c>
      <c r="D22" s="63" t="inlineStr">
        <is>
          <t>SSD 480GB Sata</t>
        </is>
      </c>
      <c r="E22" s="52" t="n">
        <v>55</v>
      </c>
      <c r="F22" s="53" t="n">
        <v>190</v>
      </c>
      <c r="G22" s="64">
        <f>IFERROR(E22*F22,0)</f>
        <v/>
      </c>
      <c r="H22" s="65">
        <f>IFERROR(G22/SUM($G$12:$G$41),0)</f>
        <v/>
      </c>
      <c r="I22" s="65">
        <f>IFERROR(SUMIF($G$12:$G$41,"&gt;="&amp;G22,$G$12:$G$41)/SUM($G$12:$G$41),0)</f>
        <v/>
      </c>
      <c r="P22" s="56" t="inlineStr">
        <is>
          <t>B — SKU11 — SSD 480GB Sata</t>
        </is>
      </c>
      <c r="Q22" s="57" t="n">
        <v>0.01006</v>
      </c>
      <c r="R22" s="57" t="n">
        <v>0.92454</v>
      </c>
      <c r="S22" s="58" t="n">
        <v>0</v>
      </c>
      <c r="T22" s="59" t="n">
        <v>1</v>
      </c>
      <c r="U22" s="60" t="n">
        <v>0</v>
      </c>
    </row>
    <row r="23" ht="18" customHeight="1">
      <c r="A23" s="61">
        <f>IF($I23&lt;=$B$9,"A",IF($I23&lt;=$B$10,"B","C"))</f>
        <v/>
      </c>
      <c r="B23" s="62" t="inlineStr">
        <is>
          <t>SKU12</t>
        </is>
      </c>
      <c r="C23" s="62" t="n">
        <v>6</v>
      </c>
      <c r="D23" s="63" t="inlineStr">
        <is>
          <t>Nobreak 1500VA</t>
        </is>
      </c>
      <c r="E23" s="52" t="n">
        <v>8</v>
      </c>
      <c r="F23" s="53" t="n">
        <v>1200</v>
      </c>
      <c r="G23" s="64">
        <f>IFERROR(E23*F23,0)</f>
        <v/>
      </c>
      <c r="H23" s="65">
        <f>IFERROR(G23/SUM($G$12:$G$41),0)</f>
        <v/>
      </c>
      <c r="I23" s="65">
        <f>IFERROR(SUMIF($G$12:$G$41,"&gt;="&amp;G23,$G$12:$G$41)/SUM($G$12:$G$41),0)</f>
        <v/>
      </c>
      <c r="P23" s="56" t="inlineStr">
        <is>
          <t>B — SKU12 — Nobreak 1500VA</t>
        </is>
      </c>
      <c r="Q23" s="57" t="n">
        <v>0.00924</v>
      </c>
      <c r="R23" s="57" t="n">
        <v>0.9337800000000001</v>
      </c>
      <c r="S23" s="58" t="n">
        <v>0</v>
      </c>
      <c r="T23" s="59" t="n">
        <v>1</v>
      </c>
      <c r="U23" s="60" t="n">
        <v>0</v>
      </c>
    </row>
    <row r="24" ht="18" customHeight="1">
      <c r="A24" s="61">
        <f>IF($I24&lt;=$B$9,"A",IF($I24&lt;=$B$10,"B","C"))</f>
        <v/>
      </c>
      <c r="B24" s="62" t="inlineStr">
        <is>
          <t>SKU13</t>
        </is>
      </c>
      <c r="C24" s="62" t="n">
        <v>20</v>
      </c>
      <c r="D24" s="63" t="inlineStr">
        <is>
          <t>HD Externo 2TB</t>
        </is>
      </c>
      <c r="E24" s="52" t="n">
        <v>18</v>
      </c>
      <c r="F24" s="53" t="n">
        <v>420</v>
      </c>
      <c r="G24" s="64">
        <f>IFERROR(E24*F24,0)</f>
        <v/>
      </c>
      <c r="H24" s="65">
        <f>IFERROR(G24/SUM($G$12:$G$41),0)</f>
        <v/>
      </c>
      <c r="I24" s="65">
        <f>IFERROR(SUMIF($G$12:$G$41,"&gt;="&amp;G24,$G$12:$G$41)/SUM($G$12:$G$41),0)</f>
        <v/>
      </c>
      <c r="P24" s="56" t="inlineStr">
        <is>
          <t>B — SKU13 — HD Externo 2TB</t>
        </is>
      </c>
      <c r="Q24" s="57" t="n">
        <v>0.00728</v>
      </c>
      <c r="R24" s="57" t="n">
        <v>0.9410500000000001</v>
      </c>
      <c r="S24" s="58" t="n">
        <v>0</v>
      </c>
      <c r="T24" s="59" t="n">
        <v>1</v>
      </c>
      <c r="U24" s="60" t="n">
        <v>0</v>
      </c>
    </row>
    <row r="25" ht="18" customHeight="1">
      <c r="A25" s="61">
        <f>IF($I25&lt;=$B$9,"A",IF($I25&lt;=$B$10,"B","C"))</f>
        <v/>
      </c>
      <c r="B25" s="62" t="inlineStr">
        <is>
          <t>SKU14</t>
        </is>
      </c>
      <c r="C25" s="62" t="n">
        <v>5</v>
      </c>
      <c r="D25" s="63" t="inlineStr">
        <is>
          <t>Teclado Mecanico RGB</t>
        </is>
      </c>
      <c r="E25" s="52" t="n">
        <v>30</v>
      </c>
      <c r="F25" s="53" t="n">
        <v>250</v>
      </c>
      <c r="G25" s="64">
        <f>IFERROR(E25*F25,0)</f>
        <v/>
      </c>
      <c r="H25" s="65">
        <f>IFERROR(G25/SUM($G$12:$G$41),0)</f>
        <v/>
      </c>
      <c r="I25" s="65">
        <f>IFERROR(SUMIF($G$12:$G$41,"&gt;="&amp;G25,$G$12:$G$41)/SUM($G$12:$G$41),0)</f>
        <v/>
      </c>
      <c r="P25" s="56" t="inlineStr">
        <is>
          <t>B — SKU14 — Teclado Mecanico RGB</t>
        </is>
      </c>
      <c r="Q25" s="57" t="n">
        <v>0.00722</v>
      </c>
      <c r="R25" s="57" t="n">
        <v>0.9482699999999999</v>
      </c>
      <c r="S25" s="58" t="n">
        <v>0</v>
      </c>
      <c r="T25" s="59" t="n">
        <v>1</v>
      </c>
      <c r="U25" s="60" t="n">
        <v>0</v>
      </c>
    </row>
    <row r="26" ht="18" customHeight="1">
      <c r="A26" s="66">
        <f>IF($I26&lt;=$B$9,"A",IF($I26&lt;=$B$10,"B","C"))</f>
        <v/>
      </c>
      <c r="B26" s="67" t="inlineStr">
        <is>
          <t>SKU15</t>
        </is>
      </c>
      <c r="C26" s="67" t="n">
        <v>9</v>
      </c>
      <c r="D26" s="68" t="inlineStr">
        <is>
          <t>Pen Drive 64GB</t>
        </is>
      </c>
      <c r="E26" s="52" t="n">
        <v>150</v>
      </c>
      <c r="F26" s="53" t="n">
        <v>45</v>
      </c>
      <c r="G26" s="69">
        <f>IFERROR(E26*F26,0)</f>
        <v/>
      </c>
      <c r="H26" s="70">
        <f>IFERROR(G26/SUM($G$12:$G$41),0)</f>
        <v/>
      </c>
      <c r="I26" s="70">
        <f>IFERROR(SUMIF($G$12:$G$41,"&gt;="&amp;G26,$G$12:$G$41)/SUM($G$12:$G$41),0)</f>
        <v/>
      </c>
      <c r="P26" s="56" t="inlineStr">
        <is>
          <t>C — SKU15 — Pen Drive 64GB</t>
        </is>
      </c>
      <c r="Q26" s="57" t="n">
        <v>0.0065</v>
      </c>
      <c r="R26" s="57" t="n">
        <v>0.95477</v>
      </c>
      <c r="S26" s="58" t="n">
        <v>0</v>
      </c>
      <c r="T26" s="59" t="n">
        <v>0</v>
      </c>
      <c r="U26" s="60" t="n">
        <v>1</v>
      </c>
    </row>
    <row r="27" ht="18" customHeight="1">
      <c r="A27" s="66">
        <f>IF($I27&lt;=$B$9,"A",IF($I27&lt;=$B$10,"B","C"))</f>
        <v/>
      </c>
      <c r="B27" s="67" t="inlineStr">
        <is>
          <t>SKU16</t>
        </is>
      </c>
      <c r="C27" s="67" t="n">
        <v>13</v>
      </c>
      <c r="D27" s="68" t="inlineStr">
        <is>
          <t>Headset com Microfone</t>
        </is>
      </c>
      <c r="E27" s="52" t="n">
        <v>60</v>
      </c>
      <c r="F27" s="53" t="n">
        <v>110</v>
      </c>
      <c r="G27" s="69">
        <f>IFERROR(E27*F27,0)</f>
        <v/>
      </c>
      <c r="H27" s="70">
        <f>IFERROR(G27/SUM($G$12:$G$41),0)</f>
        <v/>
      </c>
      <c r="I27" s="70">
        <f>IFERROR(SUMIF($G$12:$G$41,"&gt;="&amp;G27,$G$12:$G$41)/SUM($G$12:$G$41),0)</f>
        <v/>
      </c>
      <c r="P27" s="56" t="inlineStr">
        <is>
          <t>C — SKU16 — Headset com Microfone</t>
        </is>
      </c>
      <c r="Q27" s="57" t="n">
        <v>0.00635</v>
      </c>
      <c r="R27" s="57" t="n">
        <v>0.96113</v>
      </c>
      <c r="S27" s="58" t="n">
        <v>0</v>
      </c>
      <c r="T27" s="59" t="n">
        <v>0</v>
      </c>
      <c r="U27" s="60" t="n">
        <v>1</v>
      </c>
    </row>
    <row r="28" ht="18" customHeight="1">
      <c r="A28" s="66">
        <f>IF($I28&lt;=$B$9,"A",IF($I28&lt;=$B$10,"B","C"))</f>
        <v/>
      </c>
      <c r="B28" s="67" t="inlineStr">
        <is>
          <t>SKU17</t>
        </is>
      </c>
      <c r="C28" s="67" t="n">
        <v>7</v>
      </c>
      <c r="D28" s="68" t="inlineStr">
        <is>
          <t>Pacote de Papel A4</t>
        </is>
      </c>
      <c r="E28" s="52" t="n">
        <v>200</v>
      </c>
      <c r="F28" s="53" t="n">
        <v>28</v>
      </c>
      <c r="G28" s="69">
        <f>IFERROR(E28*F28,0)</f>
        <v/>
      </c>
      <c r="H28" s="70">
        <f>IFERROR(G28/SUM($G$12:$G$41),0)</f>
        <v/>
      </c>
      <c r="I28" s="70">
        <f>IFERROR(SUMIF($G$12:$G$41,"&gt;="&amp;G28,$G$12:$G$41)/SUM($G$12:$G$41),0)</f>
        <v/>
      </c>
      <c r="P28" s="56" t="inlineStr">
        <is>
          <t>C — SKU17 — Pacote de Papel A4</t>
        </is>
      </c>
      <c r="Q28" s="57" t="n">
        <v>0.00539</v>
      </c>
      <c r="R28" s="57" t="n">
        <v>0.96652</v>
      </c>
      <c r="S28" s="58" t="n">
        <v>0</v>
      </c>
      <c r="T28" s="59" t="n">
        <v>0</v>
      </c>
      <c r="U28" s="60" t="n">
        <v>1</v>
      </c>
    </row>
    <row r="29" ht="18" customHeight="1">
      <c r="A29" s="66">
        <f>IF($I29&lt;=$B$9,"A",IF($I29&lt;=$B$10,"B","C"))</f>
        <v/>
      </c>
      <c r="B29" s="67" t="inlineStr">
        <is>
          <t>SKU18</t>
        </is>
      </c>
      <c r="C29" s="67" t="n">
        <v>29</v>
      </c>
      <c r="D29" s="68" t="inlineStr">
        <is>
          <t>Teclado de Entrada</t>
        </is>
      </c>
      <c r="E29" s="52" t="n">
        <v>100</v>
      </c>
      <c r="F29" s="53" t="n">
        <v>45</v>
      </c>
      <c r="G29" s="69">
        <f>IFERROR(E29*F29,0)</f>
        <v/>
      </c>
      <c r="H29" s="70">
        <f>IFERROR(G29/SUM($G$12:$G$41),0)</f>
        <v/>
      </c>
      <c r="I29" s="70">
        <f>IFERROR(SUMIF($G$12:$G$41,"&gt;="&amp;G29,$G$12:$G$41)/SUM($G$12:$G$41),0)</f>
        <v/>
      </c>
      <c r="P29" s="56" t="inlineStr">
        <is>
          <t>C — SKU18 — Teclado de Entrada</t>
        </is>
      </c>
      <c r="Q29" s="57" t="n">
        <v>0.00433</v>
      </c>
      <c r="R29" s="57" t="n">
        <v>0.97085</v>
      </c>
      <c r="S29" s="58" t="n">
        <v>0</v>
      </c>
      <c r="T29" s="59" t="n">
        <v>0</v>
      </c>
      <c r="U29" s="60" t="n">
        <v>1</v>
      </c>
    </row>
    <row r="30" ht="18" customHeight="1">
      <c r="A30" s="66">
        <f>IF($I30&lt;=$B$9,"A",IF($I30&lt;=$B$10,"B","C"))</f>
        <v/>
      </c>
      <c r="B30" s="67" t="inlineStr">
        <is>
          <t>SKU19</t>
        </is>
      </c>
      <c r="C30" s="67" t="n">
        <v>18</v>
      </c>
      <c r="D30" s="68" t="inlineStr">
        <is>
          <t>Filtro de Linha</t>
        </is>
      </c>
      <c r="E30" s="52" t="n">
        <v>110</v>
      </c>
      <c r="F30" s="53" t="n">
        <v>40</v>
      </c>
      <c r="G30" s="69">
        <f>IFERROR(E30*F30,0)</f>
        <v/>
      </c>
      <c r="H30" s="70">
        <f>IFERROR(G30/SUM($G$12:$G$41),0)</f>
        <v/>
      </c>
      <c r="I30" s="70">
        <f>IFERROR(SUMIF($G$12:$G$41,"&gt;="&amp;G30,$G$12:$G$41)/SUM($G$12:$G$41),0)</f>
        <v/>
      </c>
      <c r="P30" s="56" t="inlineStr">
        <is>
          <t>C — SKU19 — Filtro de Linha</t>
        </is>
      </c>
      <c r="Q30" s="57" t="n">
        <v>0.00424</v>
      </c>
      <c r="R30" s="57" t="n">
        <v>0.9750799999999999</v>
      </c>
      <c r="S30" s="58" t="n">
        <v>0</v>
      </c>
      <c r="T30" s="59" t="n">
        <v>0</v>
      </c>
      <c r="U30" s="60" t="n">
        <v>1</v>
      </c>
    </row>
    <row r="31" ht="18" customHeight="1">
      <c r="A31" s="66">
        <f>IF($I31&lt;=$B$9,"A",IF($I31&lt;=$B$10,"B","C"))</f>
        <v/>
      </c>
      <c r="B31" s="67" t="inlineStr">
        <is>
          <t>SKU20</t>
        </is>
      </c>
      <c r="C31" s="67" t="n">
        <v>14</v>
      </c>
      <c r="D31" s="68" t="inlineStr">
        <is>
          <t>Webcam Full HD</t>
        </is>
      </c>
      <c r="E31" s="52" t="n">
        <v>22</v>
      </c>
      <c r="F31" s="53" t="n">
        <v>180</v>
      </c>
      <c r="G31" s="69">
        <f>IFERROR(E31*F31,0)</f>
        <v/>
      </c>
      <c r="H31" s="70">
        <f>IFERROR(G31/SUM($G$12:$G$41),0)</f>
        <v/>
      </c>
      <c r="I31" s="70">
        <f>IFERROR(SUMIF($G$12:$G$41,"&gt;="&amp;G31,$G$12:$G$41)/SUM($G$12:$G$41),0)</f>
        <v/>
      </c>
      <c r="P31" s="56" t="inlineStr">
        <is>
          <t>C — SKU20 — Webcam Full HD</t>
        </is>
      </c>
      <c r="Q31" s="57" t="n">
        <v>0.00381</v>
      </c>
      <c r="R31" s="57" t="n">
        <v>0.97889</v>
      </c>
      <c r="S31" s="58" t="n">
        <v>0</v>
      </c>
      <c r="T31" s="59" t="n">
        <v>0</v>
      </c>
      <c r="U31" s="60" t="n">
        <v>1</v>
      </c>
    </row>
    <row r="32" ht="18" customHeight="1">
      <c r="A32" s="66">
        <f>IF($I32&lt;=$B$9,"A",IF($I32&lt;=$B$10,"B","C"))</f>
        <v/>
      </c>
      <c r="B32" s="67" t="inlineStr">
        <is>
          <t>SKU21</t>
        </is>
      </c>
      <c r="C32" s="67" t="n">
        <v>23</v>
      </c>
      <c r="D32" s="68" t="inlineStr">
        <is>
          <t>Pilhas AA (Pacote)</t>
        </is>
      </c>
      <c r="E32" s="52" t="n">
        <v>300</v>
      </c>
      <c r="F32" s="53" t="n">
        <v>12</v>
      </c>
      <c r="G32" s="69">
        <f>IFERROR(E32*F32,0)</f>
        <v/>
      </c>
      <c r="H32" s="70">
        <f>IFERROR(G32/SUM($G$12:$G$41),0)</f>
        <v/>
      </c>
      <c r="I32" s="70">
        <f>IFERROR(SUMIF($G$12:$G$41,"&gt;="&amp;G32,$G$12:$G$41)/SUM($G$12:$G$41),0)</f>
        <v/>
      </c>
      <c r="P32" s="56" t="inlineStr">
        <is>
          <t>C — SKU21 — Pilhas AA (Pacote)</t>
        </is>
      </c>
      <c r="Q32" s="57" t="n">
        <v>0.00347</v>
      </c>
      <c r="R32" s="57" t="n">
        <v>0.98236</v>
      </c>
      <c r="S32" s="58" t="n">
        <v>0</v>
      </c>
      <c r="T32" s="59" t="n">
        <v>0</v>
      </c>
      <c r="U32" s="60" t="n">
        <v>1</v>
      </c>
    </row>
    <row r="33" ht="18" customHeight="1">
      <c r="A33" s="66">
        <f>IF($I33&lt;=$B$9,"A",IF($I33&lt;=$B$10,"B","C"))</f>
        <v/>
      </c>
      <c r="B33" s="67" t="inlineStr">
        <is>
          <t>SKU22</t>
        </is>
      </c>
      <c r="C33" s="67" t="n">
        <v>16</v>
      </c>
      <c r="D33" s="68" t="inlineStr">
        <is>
          <t>Adaptador USB-C</t>
        </is>
      </c>
      <c r="E33" s="52" t="n">
        <v>90</v>
      </c>
      <c r="F33" s="53" t="n">
        <v>35</v>
      </c>
      <c r="G33" s="69">
        <f>IFERROR(E33*F33,0)</f>
        <v/>
      </c>
      <c r="H33" s="70">
        <f>IFERROR(G33/SUM($G$12:$G$41),0)</f>
        <v/>
      </c>
      <c r="I33" s="70">
        <f>IFERROR(SUMIF($G$12:$G$41,"&gt;="&amp;G33,$G$12:$G$41)/SUM($G$12:$G$41),0)</f>
        <v/>
      </c>
      <c r="P33" s="56" t="inlineStr">
        <is>
          <t>C — SKU22 — Adaptador USB-C</t>
        </is>
      </c>
      <c r="Q33" s="57" t="n">
        <v>0.00303</v>
      </c>
      <c r="R33" s="57" t="n">
        <v>0.98539</v>
      </c>
      <c r="S33" s="58" t="n">
        <v>0</v>
      </c>
      <c r="T33" s="59" t="n">
        <v>0</v>
      </c>
      <c r="U33" s="60" t="n">
        <v>1</v>
      </c>
    </row>
    <row r="34" ht="18" customHeight="1">
      <c r="A34" s="66">
        <f>IF($I34&lt;=$B$9,"A",IF($I34&lt;=$B$10,"B","C"))</f>
        <v/>
      </c>
      <c r="B34" s="67" t="inlineStr">
        <is>
          <t>SKU23</t>
        </is>
      </c>
      <c r="C34" s="67" t="n">
        <v>28</v>
      </c>
      <c r="D34" s="68" t="inlineStr">
        <is>
          <t>Suporte para Monitor</t>
        </is>
      </c>
      <c r="E34" s="52" t="n">
        <v>20</v>
      </c>
      <c r="F34" s="53" t="n">
        <v>140</v>
      </c>
      <c r="G34" s="69">
        <f>IFERROR(E34*F34,0)</f>
        <v/>
      </c>
      <c r="H34" s="70">
        <f>IFERROR(G34/SUM($G$12:$G$41),0)</f>
        <v/>
      </c>
      <c r="I34" s="70">
        <f>IFERROR(SUMIF($G$12:$G$41,"&gt;="&amp;G34,$G$12:$G$41)/SUM($G$12:$G$41),0)</f>
        <v/>
      </c>
      <c r="P34" s="56" t="inlineStr">
        <is>
          <t>C — SKU23 — Suporte para Monitor</t>
        </is>
      </c>
      <c r="Q34" s="57" t="n">
        <v>0.0027</v>
      </c>
      <c r="R34" s="57" t="n">
        <v>0.98809</v>
      </c>
      <c r="S34" s="58" t="n">
        <v>0</v>
      </c>
      <c r="T34" s="59" t="n">
        <v>0</v>
      </c>
      <c r="U34" s="60" t="n">
        <v>1</v>
      </c>
    </row>
    <row r="35" ht="18" customHeight="1">
      <c r="A35" s="66">
        <f>IF($I35&lt;=$B$9,"A",IF($I35&lt;=$B$10,"B","C"))</f>
        <v/>
      </c>
      <c r="B35" s="67" t="inlineStr">
        <is>
          <t>SKU24</t>
        </is>
      </c>
      <c r="C35" s="67" t="n">
        <v>1</v>
      </c>
      <c r="D35" s="68" t="inlineStr">
        <is>
          <t>Cabo HDMI 2m</t>
        </is>
      </c>
      <c r="E35" s="52" t="n">
        <v>85</v>
      </c>
      <c r="F35" s="53" t="n">
        <v>25</v>
      </c>
      <c r="G35" s="69">
        <f>IFERROR(E35*F35,0)</f>
        <v/>
      </c>
      <c r="H35" s="70">
        <f>IFERROR(G35/SUM($G$12:$G$41),0)</f>
        <v/>
      </c>
      <c r="I35" s="70">
        <f>IFERROR(SUMIF($G$12:$G$41,"&gt;="&amp;G35,$G$12:$G$41)/SUM($G$12:$G$41),0)</f>
        <v/>
      </c>
      <c r="P35" s="56" t="inlineStr">
        <is>
          <t>C — SKU24 — Cabo HDMI 2m</t>
        </is>
      </c>
      <c r="Q35" s="57" t="n">
        <v>0.00205</v>
      </c>
      <c r="R35" s="57" t="n">
        <v>0.99013</v>
      </c>
      <c r="S35" s="58" t="n">
        <v>0</v>
      </c>
      <c r="T35" s="59" t="n">
        <v>0</v>
      </c>
      <c r="U35" s="60" t="n">
        <v>1</v>
      </c>
    </row>
    <row r="36" ht="18" customHeight="1">
      <c r="A36" s="66">
        <f>IF($I36&lt;=$B$9,"A",IF($I36&lt;=$B$10,"B","C"))</f>
        <v/>
      </c>
      <c r="B36" s="67" t="inlineStr">
        <is>
          <t>SKU25</t>
        </is>
      </c>
      <c r="C36" s="67" t="n">
        <v>24</v>
      </c>
      <c r="D36" s="68" t="inlineStr">
        <is>
          <t>Mousepad Simples</t>
        </is>
      </c>
      <c r="E36" s="52" t="n">
        <v>250</v>
      </c>
      <c r="F36" s="53" t="n">
        <v>8</v>
      </c>
      <c r="G36" s="69">
        <f>IFERROR(E36*F36,0)</f>
        <v/>
      </c>
      <c r="H36" s="70">
        <f>IFERROR(G36/SUM($G$12:$G$41),0)</f>
        <v/>
      </c>
      <c r="I36" s="70">
        <f>IFERROR(SUMIF($G$12:$G$41,"&gt;="&amp;G36,$G$12:$G$41)/SUM($G$12:$G$41),0)</f>
        <v/>
      </c>
      <c r="P36" s="56" t="inlineStr">
        <is>
          <t>C — SKU25 — Mousepad Simples</t>
        </is>
      </c>
      <c r="Q36" s="57" t="n">
        <v>0.00193</v>
      </c>
      <c r="R36" s="57" t="n">
        <v>0.9920600000000001</v>
      </c>
      <c r="S36" s="58" t="n">
        <v>0</v>
      </c>
      <c r="T36" s="59" t="n">
        <v>0</v>
      </c>
      <c r="U36" s="60" t="n">
        <v>1</v>
      </c>
    </row>
    <row r="37" ht="18" customHeight="1">
      <c r="A37" s="66">
        <f>IF($I37&lt;=$B$9,"A",IF($I37&lt;=$B$10,"B","C"))</f>
        <v/>
      </c>
      <c r="B37" s="67" t="inlineStr">
        <is>
          <t>SKU26</t>
        </is>
      </c>
      <c r="C37" s="67" t="n">
        <v>3</v>
      </c>
      <c r="D37" s="68" t="inlineStr">
        <is>
          <t>Mouse Optico Simples</t>
        </is>
      </c>
      <c r="E37" s="52" t="n">
        <v>120</v>
      </c>
      <c r="F37" s="53" t="n">
        <v>15</v>
      </c>
      <c r="G37" s="69">
        <f>IFERROR(E37*F37,0)</f>
        <v/>
      </c>
      <c r="H37" s="70">
        <f>IFERROR(G37/SUM($G$12:$G$41),0)</f>
        <v/>
      </c>
      <c r="I37" s="70">
        <f>IFERROR(SUMIF($G$12:$G$41,"&gt;="&amp;G37,$G$12:$G$41)/SUM($G$12:$G$41),0)</f>
        <v/>
      </c>
      <c r="P37" s="56" t="inlineStr">
        <is>
          <t>C — SKU26 — Mouse Optico Simples</t>
        </is>
      </c>
      <c r="Q37" s="57" t="n">
        <v>0.00173</v>
      </c>
      <c r="R37" s="57" t="n">
        <v>0.99379</v>
      </c>
      <c r="S37" s="58" t="n">
        <v>0</v>
      </c>
      <c r="T37" s="59" t="n">
        <v>0</v>
      </c>
      <c r="U37" s="60" t="n">
        <v>1</v>
      </c>
    </row>
    <row r="38" ht="18" customHeight="1">
      <c r="A38" s="66">
        <f>IF($I38&lt;=$B$9,"A",IF($I38&lt;=$B$10,"B","C"))</f>
        <v/>
      </c>
      <c r="B38" s="67" t="inlineStr">
        <is>
          <t>SKU27</t>
        </is>
      </c>
      <c r="C38" s="67" t="n">
        <v>25</v>
      </c>
      <c r="D38" s="68" t="inlineStr">
        <is>
          <t>Organizador de Cabos</t>
        </is>
      </c>
      <c r="E38" s="52" t="n">
        <v>180</v>
      </c>
      <c r="F38" s="53" t="n">
        <v>10</v>
      </c>
      <c r="G38" s="69">
        <f>IFERROR(E38*F38,0)</f>
        <v/>
      </c>
      <c r="H38" s="70">
        <f>IFERROR(G38/SUM($G$12:$G$41),0)</f>
        <v/>
      </c>
      <c r="I38" s="70">
        <f>IFERROR(SUMIF($G$12:$G$41,"&gt;="&amp;G38,$G$12:$G$41)/SUM($G$12:$G$41),0)</f>
        <v/>
      </c>
      <c r="P38" s="56" t="inlineStr">
        <is>
          <t>C — SKU27 — Organizador de Cabos</t>
        </is>
      </c>
      <c r="Q38" s="57" t="n">
        <v>0.00173</v>
      </c>
      <c r="R38" s="57" t="n">
        <v>0.99552</v>
      </c>
      <c r="S38" s="58" t="n">
        <v>0</v>
      </c>
      <c r="T38" s="59" t="n">
        <v>0</v>
      </c>
      <c r="U38" s="60" t="n">
        <v>1</v>
      </c>
    </row>
    <row r="39" ht="18" customHeight="1">
      <c r="A39" s="66">
        <f>IF($I39&lt;=$B$9,"A",IF($I39&lt;=$B$10,"B","C"))</f>
        <v/>
      </c>
      <c r="B39" s="67" t="inlineStr">
        <is>
          <t>SKU28</t>
        </is>
      </c>
      <c r="C39" s="67" t="n">
        <v>27</v>
      </c>
      <c r="D39" s="68" t="inlineStr">
        <is>
          <t>Ar comprimido (Lata)</t>
        </is>
      </c>
      <c r="E39" s="52" t="n">
        <v>35</v>
      </c>
      <c r="F39" s="53" t="n">
        <v>45</v>
      </c>
      <c r="G39" s="69">
        <f>IFERROR(E39*F39,0)</f>
        <v/>
      </c>
      <c r="H39" s="70">
        <f>IFERROR(G39/SUM($G$12:$G$41),0)</f>
        <v/>
      </c>
      <c r="I39" s="70">
        <f>IFERROR(SUMIF($G$12:$G$41,"&gt;="&amp;G39,$G$12:$G$41)/SUM($G$12:$G$41),0)</f>
        <v/>
      </c>
      <c r="P39" s="56" t="inlineStr">
        <is>
          <t>C — SKU28 — Ar comprimido (Lata)</t>
        </is>
      </c>
      <c r="Q39" s="57" t="n">
        <v>0.00152</v>
      </c>
      <c r="R39" s="57" t="n">
        <v>0.99704</v>
      </c>
      <c r="S39" s="58" t="n">
        <v>0</v>
      </c>
      <c r="T39" s="59" t="n">
        <v>0</v>
      </c>
      <c r="U39" s="60" t="n">
        <v>1</v>
      </c>
    </row>
    <row r="40" ht="18" customHeight="1">
      <c r="A40" s="66">
        <f>IF($I40&lt;=$B$9,"A",IF($I40&lt;=$B$10,"B","C"))</f>
        <v/>
      </c>
      <c r="B40" s="67" t="inlineStr">
        <is>
          <t>SKU29</t>
        </is>
      </c>
      <c r="C40" s="67" t="n">
        <v>26</v>
      </c>
      <c r="D40" s="68" t="inlineStr">
        <is>
          <t>Pasta Termica</t>
        </is>
      </c>
      <c r="E40" s="52" t="n">
        <v>45</v>
      </c>
      <c r="F40" s="53" t="n">
        <v>35</v>
      </c>
      <c r="G40" s="69">
        <f>IFERROR(E40*F40,0)</f>
        <v/>
      </c>
      <c r="H40" s="70">
        <f>IFERROR(G40/SUM($G$12:$G$41),0)</f>
        <v/>
      </c>
      <c r="I40" s="70">
        <f>IFERROR(SUMIF($G$12:$G$41,"&gt;="&amp;G40,$G$12:$G$41)/SUM($G$12:$G$41),0)</f>
        <v/>
      </c>
      <c r="P40" s="56" t="inlineStr">
        <is>
          <t>C — SKU29 — Pasta Termica</t>
        </is>
      </c>
      <c r="Q40" s="57" t="n">
        <v>0.00152</v>
      </c>
      <c r="R40" s="57" t="n">
        <v>0.99856</v>
      </c>
      <c r="S40" s="58" t="n">
        <v>0</v>
      </c>
      <c r="T40" s="59" t="n">
        <v>0</v>
      </c>
      <c r="U40" s="60" t="n">
        <v>1</v>
      </c>
    </row>
    <row r="41" ht="18" customHeight="1">
      <c r="A41" s="66">
        <f>IF($I41&lt;=$B$9,"A",IF($I41&lt;=$B$10,"B","C"))</f>
        <v/>
      </c>
      <c r="B41" s="67" t="inlineStr">
        <is>
          <t>SKU30</t>
        </is>
      </c>
      <c r="C41" s="67" t="n">
        <v>30</v>
      </c>
      <c r="D41" s="68" t="inlineStr">
        <is>
          <t>Conector RJ45 (Cento)</t>
        </is>
      </c>
      <c r="E41" s="52" t="n">
        <v>50</v>
      </c>
      <c r="F41" s="53" t="n">
        <v>30</v>
      </c>
      <c r="G41" s="69">
        <f>IFERROR(E41*F41,0)</f>
        <v/>
      </c>
      <c r="H41" s="70">
        <f>IFERROR(G41/SUM($G$12:$G$41),0)</f>
        <v/>
      </c>
      <c r="I41" s="70">
        <f>IFERROR(SUMIF($G$12:$G$41,"&gt;="&amp;G41,$G$12:$G$41)/SUM($G$12:$G$41),0)</f>
        <v/>
      </c>
      <c r="P41" s="56" t="inlineStr">
        <is>
          <t>C — SKU30 — Conector RJ45 (Cento)</t>
        </is>
      </c>
      <c r="Q41" s="57" t="n">
        <v>0.00144</v>
      </c>
      <c r="R41" s="57" t="n">
        <v>1</v>
      </c>
      <c r="S41" s="58" t="n">
        <v>0</v>
      </c>
      <c r="T41" s="59" t="n">
        <v>0</v>
      </c>
      <c r="U41" s="60" t="n">
        <v>1</v>
      </c>
    </row>
    <row r="42" ht="22" customHeight="1">
      <c r="A42" s="71" t="inlineStr">
        <is>
          <t>TOTAL GERAL</t>
        </is>
      </c>
      <c r="B42" s="72" t="n"/>
      <c r="C42" s="72" t="n"/>
      <c r="D42" s="72" t="n"/>
      <c r="E42" s="73">
        <f>SUM(E12:E41)</f>
        <v/>
      </c>
      <c r="F42" s="74" t="n"/>
      <c r="G42" s="75">
        <f>SUM(G12:G41)</f>
        <v/>
      </c>
      <c r="H42" s="76" t="n">
        <v>1</v>
      </c>
      <c r="I42" s="76" t="n">
        <v>1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F0B1"/>
  <mergeCells count="20">
    <mergeCell ref="C6:D6"/>
    <mergeCell ref="C5:D5"/>
    <mergeCell ref="E5:F5"/>
    <mergeCell ref="J1:N1"/>
    <mergeCell ref="A6:B6"/>
    <mergeCell ref="C4:D4"/>
    <mergeCell ref="E4:F4"/>
    <mergeCell ref="A42:D42"/>
    <mergeCell ref="A8:I8"/>
    <mergeCell ref="G6:H6"/>
    <mergeCell ref="A3:B3"/>
    <mergeCell ref="G3:H3"/>
    <mergeCell ref="E6:F6"/>
    <mergeCell ref="A5:B5"/>
    <mergeCell ref="G5:H5"/>
    <mergeCell ref="A4:B4"/>
    <mergeCell ref="G4:H4"/>
    <mergeCell ref="A1:I1"/>
    <mergeCell ref="C3:D3"/>
    <mergeCell ref="E3:F3"/>
  </mergeCells>
  <conditionalFormatting sqref="A12:I41">
    <cfRule type="expression" priority="1" dxfId="0">
      <formula>$A12="A"</formula>
    </cfRule>
    <cfRule type="expression" priority="2" dxfId="1">
      <formula>$A12="B"</formula>
    </cfRule>
    <cfRule type="expression" priority="3" dxfId="2">
      <formula>$A12="C"</formula>
    </cfRule>
  </conditionalFormatting>
  <dataValidations count="2">
    <dataValidation sqref="B9" showDropDown="0" showInputMessage="0" showErrorMessage="1" allowBlank="0" errorTitle="❌ Valor Inválido" error="Limite A: entre 50% e 89%" type="decimal" operator="between">
      <formula1>0.5</formula1>
      <formula2>0.89</formula2>
    </dataValidation>
    <dataValidation sqref="B10" showDropDown="0" showInputMessage="0" showErrorMessage="1" allowBlank="0" errorTitle="❌ Valor Inválido" error="Limite B: entre 50% e 99%" type="decimal" operator="between">
      <formula1>0.5</formula1>
      <formula2>0.99</formula2>
    </dataValidation>
  </dataValidation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🇯🇲 Curva ABC Reggae</dc:creator>
  <dc:title>Curva ABC Reggae — One Love, One Excel!</dc:title>
  <dc:subject>Dashboard ABC 3 abas | Reggae Colors</dc:subject>
  <dcterms:created xsi:type="dcterms:W3CDTF">2026-05-14T08:52:22Z</dcterms:created>
  <dcterms:modified xsi:type="dcterms:W3CDTF">2026-05-14T08:52:22Z</dcterms:modified>
</cp:coreProperties>
</file>