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rimeira" sheetId="2" state="visible" r:id="rId2"/>
    <sheet name="01" sheetId="3" state="visible" r:id="rId3"/>
    <sheet name="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31">
    <font>
      <name val="Calibri"/>
      <family val="2"/>
      <color theme="1"/>
      <sz val="11"/>
      <scheme val="minor"/>
    </font>
    <font>
      <name val="Calibri"/>
      <b val="1"/>
      <color rgb="00009B3A"/>
      <sz val="32"/>
    </font>
    <font>
      <name val="Calibri"/>
      <i val="1"/>
      <color rgb="00FFD700"/>
      <sz val="14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color rgb="00FFF5B0"/>
      <sz val="10"/>
    </font>
    <font>
      <name val="Calibri"/>
      <b val="1"/>
      <color rgb="00009B3A"/>
      <sz val="9"/>
    </font>
    <font>
      <name val="Calibri"/>
      <b val="1"/>
      <color rgb="00009B3A"/>
      <sz val="20"/>
    </font>
    <font>
      <name val="Calibri"/>
      <color rgb="00FFD700"/>
      <sz val="10"/>
    </font>
    <font>
      <name val="Calibri"/>
      <b val="1"/>
      <color rgb="00FFFFFF"/>
      <sz val="14"/>
    </font>
    <font>
      <name val="Calibri"/>
      <b val="1"/>
      <color rgb="00FFD700"/>
      <sz val="9"/>
    </font>
    <font>
      <name val="Calibri"/>
      <b val="1"/>
      <color rgb="00FF4444"/>
      <sz val="9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color rgb="00FFFFFF"/>
      <sz val="8"/>
    </font>
    <font>
      <name val="Calibri"/>
      <b val="1"/>
      <color rgb="00000000"/>
      <sz val="16"/>
    </font>
    <font>
      <name val="Calibri"/>
      <b val="1"/>
      <color rgb="00000000"/>
      <sz val="11"/>
    </font>
    <font>
      <name val="Calibri"/>
      <color rgb="00000000"/>
      <sz val="8"/>
    </font>
    <font>
      <name val="Calibri"/>
      <i val="1"/>
      <color rgb="00FFF5B0"/>
      <sz val="8"/>
    </font>
    <font>
      <name val="Calibri"/>
      <b val="1"/>
      <color rgb="00009B3A"/>
      <sz val="10"/>
    </font>
    <font>
      <name val="Calibri"/>
      <b val="1"/>
      <color rgb="00FFFFFF"/>
      <sz val="10"/>
    </font>
    <font>
      <name val="Calibri"/>
      <b val="1"/>
      <color rgb="00FFD700"/>
      <sz val="10"/>
    </font>
    <font>
      <name val="Calibri"/>
      <b val="1"/>
      <color rgb="00E0E0E0"/>
      <sz val="8"/>
    </font>
    <font>
      <name val="Calibri"/>
      <b val="1"/>
      <color rgb="00FFFFFF"/>
      <sz val="8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E0E0E0"/>
      <sz val="8"/>
    </font>
    <font>
      <name val="Calibri"/>
      <color rgb="00C8F5DB"/>
      <sz val="8"/>
    </font>
    <font>
      <name val="Calibri"/>
      <b val="1"/>
      <color rgb="00FFD700"/>
      <sz val="11"/>
    </font>
    <font>
      <name val="Calibri"/>
      <b val="1"/>
      <color rgb="00000000"/>
      <sz val="9"/>
    </font>
  </fonts>
  <fills count="1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C8A400"/>
      </patternFill>
    </fill>
    <fill>
      <patternFill patternType="solid">
        <fgColor rgb="00990000"/>
      </patternFill>
    </fill>
    <fill>
      <patternFill patternType="solid">
        <fgColor rgb="00006B28"/>
      </patternFill>
    </fill>
    <fill>
      <patternFill patternType="solid">
        <fgColor rgb="00C8F5DB"/>
      </patternFill>
    </fill>
    <fill>
      <patternFill patternType="solid">
        <fgColor rgb="00FFFFFF"/>
      </patternFill>
    </fill>
    <fill>
      <patternFill patternType="solid">
        <fgColor rgb="00FFF5B0"/>
      </patternFill>
    </fill>
    <fill>
      <patternFill patternType="solid">
        <fgColor rgb="00FFD0D0"/>
      </patternFill>
    </fill>
  </fills>
  <borders count="1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C8A400"/>
      </left>
      <right style="thin">
        <color rgb="00C8A400"/>
      </right>
      <top style="thin">
        <color rgb="00C8A400"/>
      </top>
      <bottom style="thin">
        <color rgb="00C8A400"/>
      </bottom>
    </border>
    <border>
      <left style="thin">
        <color rgb="00990000"/>
      </left>
      <right style="thin">
        <color rgb="00990000"/>
      </right>
      <top style="thin">
        <color rgb="00990000"/>
      </top>
      <bottom style="thin">
        <color rgb="00990000"/>
      </bottom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medium">
        <color rgb="00006B28"/>
      </left>
      <right style="medium">
        <color rgb="00006B28"/>
      </right>
      <top style="thin">
        <color rgb="00B0B0B0"/>
      </top>
      <bottom style="thin">
        <color rgb="00B0B0B0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2" borderId="3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0" fillId="0" borderId="6" pivotButton="0" quotePrefix="0" xfId="0"/>
    <xf numFmtId="0" fontId="6" fillId="2" borderId="6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0" fontId="11" fillId="2" borderId="6" applyAlignment="1" pivotButton="0" quotePrefix="0" xfId="0">
      <alignment horizontal="center" vertical="center"/>
    </xf>
    <xf numFmtId="0" fontId="0" fillId="0" borderId="7" pivotButton="0" quotePrefix="0" xfId="0"/>
    <xf numFmtId="164" fontId="9" fillId="9" borderId="8" applyAlignment="1" pivotButton="0" quotePrefix="0" xfId="0">
      <alignment horizontal="center" vertical="center"/>
    </xf>
    <xf numFmtId="0" fontId="0" fillId="0" borderId="2" pivotButton="0" quotePrefix="0" xfId="0"/>
    <xf numFmtId="164" fontId="9" fillId="4" borderId="2" applyAlignment="1" pivotButton="0" quotePrefix="0" xfId="0">
      <alignment horizontal="center" vertical="center"/>
    </xf>
    <xf numFmtId="165" fontId="9" fillId="7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0" fontId="0" fillId="0" borderId="9" pivotButton="0" quotePrefix="0" xfId="0"/>
    <xf numFmtId="0" fontId="6" fillId="2" borderId="8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164" fontId="3" fillId="9" borderId="10" applyAlignment="1" pivotButton="0" quotePrefix="0" xfId="0">
      <alignment horizontal="center" vertical="center"/>
    </xf>
    <xf numFmtId="0" fontId="0" fillId="0" borderId="11" pivotButton="0" quotePrefix="0" xfId="0"/>
    <xf numFmtId="0" fontId="3" fillId="4" borderId="11" applyAlignment="1" pivotButton="0" quotePrefix="0" xfId="0">
      <alignment horizontal="center" vertical="center"/>
    </xf>
    <xf numFmtId="9" fontId="3" fillId="7" borderId="11" applyAlignment="1" pivotButton="0" quotePrefix="0" xfId="0">
      <alignment horizontal="center" vertical="center"/>
    </xf>
    <xf numFmtId="9" fontId="3" fillId="8" borderId="11" applyAlignment="1" pivotButton="0" quotePrefix="0" xfId="0">
      <alignment horizontal="center" vertical="center"/>
    </xf>
    <xf numFmtId="0" fontId="0" fillId="0" borderId="12" pivotButton="0" quotePrefix="0" xfId="0"/>
    <xf numFmtId="0" fontId="19" fillId="9" borderId="0" applyAlignment="1" pivotButton="0" quotePrefix="0" xfId="0">
      <alignment horizontal="left" vertical="center"/>
    </xf>
    <xf numFmtId="0" fontId="12" fillId="3" borderId="13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/>
    </xf>
    <xf numFmtId="0" fontId="21" fillId="3" borderId="14" applyAlignment="1" pivotButton="0" quotePrefix="0" xfId="0">
      <alignment horizontal="left" vertical="center"/>
    </xf>
    <xf numFmtId="0" fontId="21" fillId="3" borderId="14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/>
    </xf>
    <xf numFmtId="0" fontId="23" fillId="2" borderId="13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24" fillId="7" borderId="13" applyAlignment="1" pivotButton="0" quotePrefix="0" xfId="0">
      <alignment horizontal="center" vertical="center"/>
    </xf>
    <xf numFmtId="0" fontId="24" fillId="8" borderId="13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166" fontId="17" fillId="7" borderId="1" applyAlignment="1" pivotButton="0" quotePrefix="0" xfId="0">
      <alignment horizontal="right" vertical="center"/>
    </xf>
    <xf numFmtId="165" fontId="17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left" vertical="center"/>
    </xf>
    <xf numFmtId="0" fontId="25" fillId="10" borderId="13" applyAlignment="1" pivotButton="0" quotePrefix="0" xfId="0">
      <alignment horizontal="left" vertical="center"/>
    </xf>
    <xf numFmtId="0" fontId="25" fillId="10" borderId="13" applyAlignment="1" pivotButton="0" quotePrefix="0" xfId="0">
      <alignment horizontal="center" vertical="center"/>
    </xf>
    <xf numFmtId="3" fontId="26" fillId="11" borderId="15" applyAlignment="1" applyProtection="1" pivotButton="0" quotePrefix="0" xfId="0">
      <alignment horizontal="center" vertical="center"/>
      <protection locked="0" hidden="0"/>
    </xf>
    <xf numFmtId="164" fontId="26" fillId="11" borderId="15" applyAlignment="1" applyProtection="1" pivotButton="0" quotePrefix="0" xfId="0">
      <alignment horizontal="right" vertical="center"/>
      <protection locked="0" hidden="0"/>
    </xf>
    <xf numFmtId="164" fontId="26" fillId="10" borderId="13" applyAlignment="1" pivotButton="0" quotePrefix="0" xfId="0">
      <alignment horizontal="right" vertical="center"/>
    </xf>
    <xf numFmtId="10" fontId="25" fillId="10" borderId="13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6" fontId="14" fillId="8" borderId="1" applyAlignment="1" pivotButton="0" quotePrefix="0" xfId="0">
      <alignment horizontal="right" vertical="center"/>
    </xf>
    <xf numFmtId="165" fontId="14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3" fontId="27" fillId="2" borderId="0" applyAlignment="1" pivotButton="0" quotePrefix="0" xfId="0">
      <alignment horizontal="right" vertical="center"/>
    </xf>
    <xf numFmtId="165" fontId="27" fillId="2" borderId="0" applyAlignment="1" pivotButton="0" quotePrefix="0" xfId="0">
      <alignment horizontal="center" vertical="center"/>
    </xf>
    <xf numFmtId="3" fontId="28" fillId="9" borderId="0" pivotButton="0" quotePrefix="0" xfId="0"/>
    <xf numFmtId="3" fontId="15" fillId="7" borderId="0" pivotButton="0" quotePrefix="0" xfId="0"/>
    <xf numFmtId="3" fontId="15" fillId="8" borderId="0" pivotButton="0" quotePrefix="0" xfId="0"/>
    <xf numFmtId="0" fontId="6" fillId="2" borderId="0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25" fillId="12" borderId="13" applyAlignment="1" pivotButton="0" quotePrefix="0" xfId="0">
      <alignment horizontal="left" vertical="center"/>
    </xf>
    <xf numFmtId="0" fontId="25" fillId="12" borderId="13" applyAlignment="1" pivotButton="0" quotePrefix="0" xfId="0">
      <alignment horizontal="center" vertical="center"/>
    </xf>
    <xf numFmtId="164" fontId="26" fillId="12" borderId="13" applyAlignment="1" pivotButton="0" quotePrefix="0" xfId="0">
      <alignment horizontal="right" vertical="center"/>
    </xf>
    <xf numFmtId="10" fontId="25" fillId="12" borderId="13" applyAlignment="1" pivotButton="0" quotePrefix="0" xfId="0">
      <alignment horizontal="center" vertical="center"/>
    </xf>
    <xf numFmtId="0" fontId="25" fillId="13" borderId="13" applyAlignment="1" pivotButton="0" quotePrefix="0" xfId="0">
      <alignment horizontal="left" vertical="center"/>
    </xf>
    <xf numFmtId="0" fontId="25" fillId="13" borderId="13" applyAlignment="1" pivotButton="0" quotePrefix="0" xfId="0">
      <alignment horizontal="center" vertical="center"/>
    </xf>
    <xf numFmtId="164" fontId="26" fillId="13" borderId="13" applyAlignment="1" pivotButton="0" quotePrefix="0" xfId="0">
      <alignment horizontal="right" vertical="center"/>
    </xf>
    <xf numFmtId="10" fontId="25" fillId="13" borderId="13" applyAlignment="1" pivotButton="0" quotePrefix="0" xfId="0">
      <alignment horizontal="center" vertical="center"/>
    </xf>
    <xf numFmtId="0" fontId="29" fillId="3" borderId="16" applyAlignment="1" pivotButton="0" quotePrefix="0" xfId="0">
      <alignment horizontal="center" vertical="center"/>
    </xf>
    <xf numFmtId="0" fontId="0" fillId="0" borderId="16" pivotButton="0" quotePrefix="0" xfId="0"/>
    <xf numFmtId="3" fontId="14" fillId="3" borderId="16" applyAlignment="1" pivotButton="0" quotePrefix="0" xfId="0">
      <alignment horizontal="center" vertical="center"/>
    </xf>
    <xf numFmtId="0" fontId="0" fillId="3" borderId="16" pivotButton="0" quotePrefix="0" xfId="0"/>
    <xf numFmtId="164" fontId="14" fillId="4" borderId="16" applyAlignment="1" pivotButton="0" quotePrefix="0" xfId="0">
      <alignment horizontal="right" vertical="center"/>
    </xf>
    <xf numFmtId="9" fontId="14" fillId="3" borderId="16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000000"/>
      </font>
      <fill>
        <patternFill patternType="solid">
          <fgColor rgb="00C8F5DB"/>
        </patternFill>
      </fill>
    </dxf>
    <dxf>
      <font>
        <color rgb="00000000"/>
      </font>
      <fill>
        <patternFill patternType="solid">
          <fgColor rgb="00FFF5B0"/>
        </patternFill>
      </fill>
    </dxf>
    <dxf>
      <font>
        <color rgb="00000000"/>
      </font>
      <fill>
        <patternFill patternType="solid">
          <fgColor rgb="00FF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(Primeira)</a:t>
            </a:r>
          </a:p>
        </rich>
      </tx>
    </title>
    <plotArea>
      <barChart>
        <barDir val="col"/>
        <grouping val="cluster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'Primeira'!$T$10:$T$19</f>
            </numRef>
          </cat>
          <val>
            <numRef>
              <f>'Primeira'!$W$10:$W$19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'Primeira'!$T$10:$T$19</f>
            </numRef>
          </cat>
          <val>
            <numRef>
              <f>'Primeira'!$X$10:$X$19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'Primeira'!$T$10:$T$19</f>
            </numRef>
          </cat>
          <val>
            <numRef>
              <f>'Primeira'!$Y$10:$Y$19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(Primeira)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5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'Primeira'!$T$10:$T$19</f>
            </numRef>
          </cat>
          <val>
            <numRef>
              <f>'Primeira'!$V$10:$V$19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(01)</a:t>
            </a:r>
          </a:p>
        </rich>
      </tx>
    </title>
    <plotArea>
      <barChart>
        <barDir val="col"/>
        <grouping val="cluster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'01'!$T$10:$T$29</f>
            </numRef>
          </cat>
          <val>
            <numRef>
              <f>'01'!$W$10:$W$29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'01'!$T$10:$T$29</f>
            </numRef>
          </cat>
          <val>
            <numRef>
              <f>'01'!$X$10:$X$29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'01'!$T$10:$T$29</f>
            </numRef>
          </cat>
          <val>
            <numRef>
              <f>'01'!$Y$10:$Y$29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(01)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5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'01'!$T$10:$T$29</f>
            </numRef>
          </cat>
          <val>
            <numRef>
              <f>'01'!$V$10:$V$29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ABC — Valor Total por Item (02)</a:t>
            </a:r>
          </a:p>
        </rich>
      </tx>
    </title>
    <plotArea>
      <barChart>
        <barDir val="col"/>
        <grouping val="clustered"/>
        <ser>
          <idx val="0"/>
          <order val="0"/>
          <tx>
            <v>Classe A</v>
          </tx>
          <spPr>
            <a:solidFill>
              <a:srgbClr val="009B3A"/>
            </a:solidFill>
            <a:ln>
              <a:solidFill>
                <a:srgbClr val="006B28"/>
              </a:solidFill>
              <a:prstDash val="solid"/>
            </a:ln>
          </spPr>
          <cat>
            <numRef>
              <f>'02'!$T$10:$T$39</f>
            </numRef>
          </cat>
          <val>
            <numRef>
              <f>'02'!$W$10:$W$39</f>
            </numRef>
          </val>
        </ser>
        <ser>
          <idx val="1"/>
          <order val="1"/>
          <tx>
            <v>Classe B</v>
          </tx>
          <spPr>
            <a:solidFill>
              <a:srgbClr val="FFD700"/>
            </a:solidFill>
            <a:ln>
              <a:solidFill>
                <a:srgbClr val="C8A400"/>
              </a:solidFill>
              <a:prstDash val="solid"/>
            </a:ln>
          </spPr>
          <cat>
            <numRef>
              <f>'02'!$T$10:$T$39</f>
            </numRef>
          </cat>
          <val>
            <numRef>
              <f>'02'!$X$10:$X$39</f>
            </numRef>
          </val>
        </ser>
        <ser>
          <idx val="2"/>
          <order val="2"/>
          <tx>
            <v>Classe C</v>
          </tx>
          <spPr>
            <a:solidFill>
              <a:srgbClr val="CC0000"/>
            </a:solidFill>
            <a:ln>
              <a:solidFill>
                <a:srgbClr val="990000"/>
              </a:solidFill>
              <a:prstDash val="solid"/>
            </a:ln>
          </spPr>
          <cat>
            <numRef>
              <f>'02'!$T$10:$T$39</f>
            </numRef>
          </cat>
          <val>
            <numRef>
              <f>'02'!$Y$10:$Y$39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Curva de Pareto — % Acumulado (02)</a:t>
            </a:r>
          </a:p>
        </rich>
      </tx>
    </title>
    <plotArea>
      <lineChart>
        <grouping val="standard"/>
        <ser>
          <idx val="0"/>
          <order val="0"/>
          <tx>
            <v>% Acumulado</v>
          </tx>
          <spPr>
            <a:ln w="25000">
              <a:solidFill>
                <a:srgbClr val="009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'02'!$T$10:$T$39</f>
            </numRef>
          </cat>
          <val>
            <numRef>
              <f>'02'!$V$10:$V$39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Acumulado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22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32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42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8" customWidth="1" min="3" max="3"/>
    <col width="28" customWidth="1" min="4" max="4"/>
    <col width="28" customWidth="1" min="5" max="5"/>
    <col width="4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</row>
    <row r="2" ht="60" customHeight="1">
      <c r="A2" s="1" t="n"/>
      <c r="B2" s="2" t="inlineStr">
        <is>
          <t>CURVA ABC REGGAE</t>
        </is>
      </c>
      <c r="F2" s="1" t="n"/>
    </row>
    <row r="3" ht="20" customHeight="1">
      <c r="A3" s="1" t="n"/>
      <c r="B3" s="3" t="inlineStr">
        <is>
          <t>Dashboard Profissional de Analise de Estoque</t>
        </is>
      </c>
      <c r="F3" s="1" t="n"/>
    </row>
    <row r="4" ht="20" customHeight="1">
      <c r="A4" s="1" t="n"/>
      <c r="B4" s="4" t="n"/>
      <c r="C4" s="5" t="n"/>
      <c r="D4" s="6" t="n"/>
      <c r="E4" s="7" t="n"/>
      <c r="F4" s="1" t="n"/>
    </row>
    <row r="5" ht="20" customHeight="1">
      <c r="A5" s="1" t="n"/>
      <c r="B5" s="1" t="n"/>
      <c r="C5" s="1" t="n"/>
      <c r="D5" s="1" t="n"/>
      <c r="E5" s="1" t="n"/>
      <c r="F5" s="1" t="n"/>
    </row>
    <row r="6" ht="20" customHeight="1">
      <c r="A6" s="1" t="n"/>
      <c r="B6" s="8" t="inlineStr">
        <is>
          <t>Classificacao ABC</t>
        </is>
      </c>
      <c r="F6" s="1" t="n"/>
    </row>
    <row r="7" ht="20" customHeight="1">
      <c r="A7" s="1" t="n"/>
      <c r="B7" s="9" t="inlineStr">
        <is>
          <t>A = ate 80% do valor total</t>
        </is>
      </c>
      <c r="F7" s="1" t="n"/>
    </row>
    <row r="8" ht="8" customHeight="1">
      <c r="A8" s="1" t="n"/>
      <c r="B8" s="9" t="inlineStr">
        <is>
          <t>B = 80% a 95% do valor</t>
        </is>
      </c>
      <c r="F8" s="1" t="n"/>
    </row>
    <row r="9" ht="20" customHeight="1">
      <c r="A9" s="1" t="n"/>
      <c r="B9" s="9" t="inlineStr">
        <is>
          <t>C = 95% a 100% do valor</t>
        </is>
      </c>
      <c r="F9" s="1" t="n"/>
    </row>
    <row r="10" ht="20" customHeight="1">
      <c r="A10" s="1" t="n"/>
      <c r="B10" s="10" t="inlineStr">
        <is>
          <t>Abas Disponíveis</t>
        </is>
      </c>
      <c r="F10" s="1" t="n"/>
    </row>
    <row r="11" ht="20" customHeight="1">
      <c r="A11" s="1" t="n"/>
      <c r="B11" s="11" t="inlineStr">
        <is>
          <t>Primeira: 10 itens</t>
        </is>
      </c>
      <c r="F11" s="1" t="n"/>
    </row>
    <row r="12" ht="20" customHeight="1">
      <c r="A12" s="1" t="n"/>
      <c r="B12" s="11" t="inlineStr">
        <is>
          <t>Aba 01: 20 itens</t>
        </is>
      </c>
      <c r="F12" s="1" t="n"/>
    </row>
    <row r="13" ht="20" customHeight="1">
      <c r="A13" s="1" t="n"/>
      <c r="B13" s="11" t="inlineStr">
        <is>
          <t>Aba 02: 30 itens</t>
        </is>
      </c>
      <c r="F13" s="1" t="n"/>
    </row>
    <row r="14" ht="8" customHeight="1">
      <c r="A14" s="1" t="n"/>
      <c r="B14" s="1" t="n"/>
      <c r="C14" s="1" t="n"/>
      <c r="D14" s="1" t="n"/>
      <c r="E14" s="1" t="n"/>
      <c r="F14" s="1" t="n"/>
    </row>
    <row r="15" ht="20" customHeight="1">
      <c r="A15" s="1" t="n"/>
      <c r="B15" s="1" t="n"/>
      <c r="C15" s="1" t="n"/>
      <c r="D15" s="1" t="n"/>
      <c r="E15" s="1" t="n"/>
      <c r="F15" s="1" t="n"/>
    </row>
    <row r="16" ht="20" customHeight="1">
      <c r="A16" s="1" t="n"/>
      <c r="B16" s="12" t="inlineStr">
        <is>
          <t>Como Usar</t>
        </is>
      </c>
      <c r="F16" s="1" t="n"/>
    </row>
    <row r="17" ht="20" customHeight="1">
      <c r="A17" s="1" t="n"/>
      <c r="B17" s="13" t="inlineStr">
        <is>
          <t>1. Va para a aba desejada</t>
        </is>
      </c>
      <c r="F17" s="1" t="n"/>
    </row>
    <row r="18" ht="20" customHeight="1">
      <c r="A18" s="1" t="n"/>
      <c r="B18" s="13" t="inlineStr">
        <is>
          <t>2. Edite Quant. e Custo</t>
        </is>
      </c>
      <c r="F18" s="1" t="n"/>
    </row>
    <row r="19" ht="20" customHeight="1">
      <c r="A19" s="1" t="n"/>
      <c r="B19" s="13" t="inlineStr">
        <is>
          <t>3. ABC calcula automaticamente</t>
        </is>
      </c>
      <c r="F19" s="1" t="n"/>
    </row>
    <row r="20" ht="8" customHeight="1">
      <c r="A20" s="1" t="n"/>
      <c r="B20" s="1" t="n"/>
      <c r="C20" s="1" t="n"/>
      <c r="D20" s="1" t="n"/>
      <c r="E20" s="1" t="n"/>
      <c r="F20" s="1" t="n"/>
    </row>
    <row r="21" ht="20" customHeight="1">
      <c r="A21" s="1" t="n"/>
      <c r="B21" s="1" t="n"/>
      <c r="C21" s="1" t="n"/>
      <c r="D21" s="1" t="n"/>
      <c r="E21" s="1" t="n"/>
      <c r="F21" s="1" t="n"/>
    </row>
    <row r="22" ht="20" customHeight="1">
      <c r="A22" s="1" t="n"/>
      <c r="B22" s="1" t="n"/>
      <c r="C22" s="1" t="n"/>
      <c r="D22" s="1" t="n"/>
      <c r="E22" s="1" t="n"/>
      <c r="F22" s="1" t="n"/>
    </row>
    <row r="23" ht="20" customHeight="1">
      <c r="A23" s="1" t="n"/>
      <c r="B23" s="1" t="n"/>
      <c r="C23" s="1" t="n"/>
      <c r="D23" s="1" t="n"/>
      <c r="E23" s="1" t="n"/>
      <c r="F23" s="1" t="n"/>
    </row>
    <row r="24" ht="20" customHeight="1">
      <c r="A24" s="1" t="n"/>
      <c r="B24" s="1" t="n"/>
      <c r="C24" s="1" t="n"/>
      <c r="D24" s="1" t="n"/>
      <c r="E24" s="1" t="n"/>
      <c r="F24" s="1" t="n"/>
    </row>
    <row r="25" ht="20" customHeight="1">
      <c r="A25" s="1" t="n"/>
      <c r="B25" s="1" t="n"/>
      <c r="C25" s="1" t="n"/>
      <c r="D25" s="1" t="n"/>
      <c r="E25" s="1" t="n"/>
      <c r="F25" s="1" t="n"/>
    </row>
    <row r="26" ht="20" customHeight="1">
      <c r="A26" s="1" t="n"/>
      <c r="B26" s="1" t="n"/>
      <c r="C26" s="1" t="n"/>
      <c r="D26" s="1" t="n"/>
      <c r="E26" s="1" t="n"/>
      <c r="F26" s="1" t="n"/>
    </row>
    <row r="27" ht="20" customHeight="1">
      <c r="A27" s="1" t="n"/>
      <c r="B27" s="1" t="n"/>
      <c r="C27" s="1" t="n"/>
      <c r="D27" s="1" t="n"/>
      <c r="E27" s="1" t="n"/>
      <c r="F27" s="1" t="n"/>
    </row>
    <row r="28" ht="20" customHeight="1">
      <c r="A28" s="1" t="n"/>
      <c r="B28" s="1" t="n"/>
      <c r="C28" s="1" t="n"/>
      <c r="D28" s="1" t="n"/>
      <c r="E28" s="1" t="n"/>
      <c r="F28" s="1" t="n"/>
    </row>
    <row r="29" ht="20" customHeight="1">
      <c r="A29" s="1" t="n"/>
      <c r="B29" s="1" t="n"/>
      <c r="C29" s="1" t="n"/>
      <c r="D29" s="1" t="n"/>
      <c r="E29" s="1" t="n"/>
      <c r="F29" s="1" t="n"/>
    </row>
    <row r="30" ht="20" customHeight="1">
      <c r="A30" s="1" t="n"/>
      <c r="B30" s="1" t="n"/>
      <c r="C30" s="1" t="n"/>
      <c r="D30" s="1" t="n"/>
      <c r="E30" s="1" t="n"/>
      <c r="F30" s="1" t="n"/>
    </row>
    <row r="31" ht="20" customHeight="1">
      <c r="A31" s="1" t="n"/>
      <c r="B31" s="1" t="n"/>
      <c r="C31" s="1" t="n"/>
      <c r="D31" s="1" t="n"/>
      <c r="E31" s="1" t="n"/>
      <c r="F31" s="1" t="n"/>
    </row>
    <row r="32" ht="20" customHeight="1">
      <c r="A32" s="1" t="n"/>
      <c r="B32" s="14" t="inlineStr">
        <is>
          <t>One Love, One Data  |  CURVA ABC REGGAE  |  2026  |  Senha: abc2026.</t>
        </is>
      </c>
      <c r="F32" s="1" t="n"/>
    </row>
    <row r="33" ht="20" customHeight="1">
      <c r="A33" s="1" t="n"/>
      <c r="B33" s="1" t="n"/>
      <c r="C33" s="1" t="n"/>
      <c r="D33" s="1" t="n"/>
      <c r="E33" s="1" t="n"/>
      <c r="F33" s="1" t="n"/>
    </row>
    <row r="34" ht="20" customHeight="1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</sheetData>
  <mergeCells count="16">
    <mergeCell ref="B17:E17"/>
    <mergeCell ref="B9:E9"/>
    <mergeCell ref="B18:E18"/>
    <mergeCell ref="B8:E8"/>
    <mergeCell ref="B4:E4"/>
    <mergeCell ref="B12:E12"/>
    <mergeCell ref="B13:E13"/>
    <mergeCell ref="B6:E6"/>
    <mergeCell ref="B16:E16"/>
    <mergeCell ref="B7:E7"/>
    <mergeCell ref="B11:E11"/>
    <mergeCell ref="B3:E3"/>
    <mergeCell ref="B2:E2"/>
    <mergeCell ref="B19:E19"/>
    <mergeCell ref="B10:E10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B3A"/>
    <outlinePr summaryBelow="1" summaryRight="1"/>
    <pageSetUpPr/>
  </sheetPr>
  <dimension ref="A1:Y5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2" customWidth="1" min="15" max="15"/>
    <col width="2" customWidth="1" min="16" max="16"/>
    <col width="2" customWidth="1" min="17" max="17"/>
    <col width="8" customWidth="1" min="18" max="18"/>
    <col width="6" customWidth="1" min="19" max="19"/>
    <col width="38" customWidth="1" min="20" max="20"/>
    <col width="16" customWidth="1" min="21" max="21"/>
    <col width="13" customWidth="1" min="22" max="22"/>
    <col width="16" customWidth="1" min="23" max="23"/>
    <col width="16" customWidth="1" min="24" max="24"/>
    <col width="16" customWidth="1" min="25" max="25"/>
  </cols>
  <sheetData>
    <row r="1" ht="50" customHeight="1">
      <c r="A1" s="15" t="inlineStr">
        <is>
          <t>CURVA ABC REGGAE  —  PRIMEIRA</t>
        </is>
      </c>
      <c r="I1" s="4" t="n"/>
      <c r="J1" s="16" t="inlineStr">
        <is>
          <t>A = ate 80%   |   B = 80-95%   |   C = 95-100%</t>
        </is>
      </c>
    </row>
    <row r="2" ht="22" customHeight="1">
      <c r="A2" s="17" t="inlineStr">
        <is>
          <t>V.T. TOTAL</t>
        </is>
      </c>
      <c r="B2" s="18" t="n"/>
      <c r="C2" s="19" t="inlineStr">
        <is>
          <t>V.T. CLASSE A</t>
        </is>
      </c>
      <c r="D2" s="18" t="n"/>
      <c r="E2" s="20" t="inlineStr">
        <is>
          <t>% ITENS A</t>
        </is>
      </c>
      <c r="F2" s="18" t="n"/>
      <c r="G2" s="21" t="inlineStr">
        <is>
          <t>MAIOR V.T.</t>
        </is>
      </c>
      <c r="H2" s="22" t="n"/>
      <c r="J2" s="1" t="n"/>
      <c r="K2" s="1" t="n"/>
      <c r="L2" s="1" t="n"/>
      <c r="M2" s="1" t="n"/>
      <c r="N2" s="1" t="n"/>
    </row>
    <row r="3" ht="32" customHeight="1">
      <c r="A3" s="23">
        <f>SUM($F$10:$F$19)</f>
        <v/>
      </c>
      <c r="B3" s="24" t="n"/>
      <c r="C3" s="25">
        <f>SUMIF($A$10:$A$19,"A",$F$10:$F$19)</f>
        <v/>
      </c>
      <c r="D3" s="24" t="n"/>
      <c r="E3" s="26">
        <f>IFERROR(COUNTIF($A$10:$A$19,"A")/COUNTA($B$10:$B$19),0)</f>
        <v/>
      </c>
      <c r="F3" s="24" t="n"/>
      <c r="G3" s="27">
        <f>MAX($F$10:$F$19)</f>
        <v/>
      </c>
      <c r="H3" s="28" t="n"/>
      <c r="J3" s="1" t="n"/>
      <c r="K3" s="1" t="n"/>
      <c r="L3" s="1" t="n"/>
      <c r="M3" s="1" t="n"/>
      <c r="N3" s="1" t="n"/>
    </row>
    <row r="4" ht="22" customHeight="1">
      <c r="A4" s="29" t="inlineStr">
        <is>
          <t>MENOR V.T.</t>
        </is>
      </c>
      <c r="B4" s="24" t="n"/>
      <c r="C4" s="30" t="inlineStr">
        <is>
          <t>STATUS</t>
        </is>
      </c>
      <c r="D4" s="24" t="n"/>
      <c r="E4" s="31" t="inlineStr">
        <is>
          <t>LIMITE A</t>
        </is>
      </c>
      <c r="F4" s="24" t="n"/>
      <c r="G4" s="32" t="inlineStr">
        <is>
          <t>LIMITE B</t>
        </is>
      </c>
      <c r="H4" s="28" t="n"/>
      <c r="J4" s="1" t="n"/>
      <c r="K4" s="1" t="n"/>
      <c r="L4" s="1" t="n"/>
      <c r="M4" s="1" t="n"/>
      <c r="N4" s="1" t="n"/>
    </row>
    <row r="5" ht="32" customHeight="1">
      <c r="A5" s="33">
        <f>MIN($F$10:$F$19)</f>
        <v/>
      </c>
      <c r="B5" s="34" t="n"/>
      <c r="C5" s="35">
        <f>IF(IFERROR(MAX($H$10:$H$19),0)&gt;1.0001,"VERIFICAR","CONSISTENTE")</f>
        <v/>
      </c>
      <c r="D5" s="34" t="n"/>
      <c r="E5" s="36" t="n">
        <v>0.8</v>
      </c>
      <c r="F5" s="34" t="n"/>
      <c r="G5" s="37" t="n">
        <v>0.95</v>
      </c>
      <c r="H5" s="38" t="n"/>
      <c r="J5" s="1" t="n"/>
      <c r="K5" s="1" t="n"/>
      <c r="L5" s="1" t="n"/>
      <c r="M5" s="1" t="n"/>
      <c r="N5" s="1" t="n"/>
    </row>
    <row r="6" ht="18" customHeight="1">
      <c r="A6" s="39" t="inlineStr">
        <is>
          <t xml:space="preserve">  Gestao de Estoque &amp; Inventario | Classe A: ate 80%  |  Classe B: 80-95%  |  Classe C: 95-100%  |  Edite somente Quant. e Custo Unit. — formulas, ABC e graficos atualizam automaticamente.</t>
        </is>
      </c>
    </row>
    <row r="7" ht="18" customHeight="1">
      <c r="J7" s="40" t="inlineStr">
        <is>
          <t>Classe</t>
        </is>
      </c>
      <c r="K7" s="40" t="inlineStr">
        <is>
          <t>Total V.T.</t>
        </is>
      </c>
      <c r="L7" s="40" t="inlineStr">
        <is>
          <t>% Total</t>
        </is>
      </c>
      <c r="M7" s="40" t="inlineStr">
        <is>
          <t>Qtd. Itens</t>
        </is>
      </c>
      <c r="N7" s="40" t="inlineStr">
        <is>
          <t>Barra Rapida</t>
        </is>
      </c>
    </row>
    <row r="8" ht="26" customHeight="1">
      <c r="A8" s="41" t="inlineStr">
        <is>
          <t>ABC</t>
        </is>
      </c>
      <c r="B8" s="42" t="inlineStr">
        <is>
          <t>Descricao do Item</t>
        </is>
      </c>
      <c r="C8" s="43" t="inlineStr">
        <is>
          <t>Cod./ID</t>
        </is>
      </c>
      <c r="D8" s="44" t="inlineStr">
        <is>
          <t>Quant.</t>
        </is>
      </c>
      <c r="E8" s="44" t="inlineStr">
        <is>
          <t>Custo Unit. (R$)</t>
        </is>
      </c>
      <c r="F8" s="41" t="inlineStr">
        <is>
          <t>V.T. (R$)</t>
        </is>
      </c>
      <c r="G8" s="43" t="inlineStr">
        <is>
          <t>% Individual</t>
        </is>
      </c>
      <c r="H8" s="43" t="inlineStr">
        <is>
          <t>% Acumulado</t>
        </is>
      </c>
      <c r="J8" s="45" t="inlineStr">
        <is>
          <t>A</t>
        </is>
      </c>
      <c r="K8" s="46">
        <f>SUMIF($A$10:$A$19,"A",$F$10:$F$19)</f>
        <v/>
      </c>
      <c r="L8" s="47">
        <f>IFERROR(K8/SUM($F$10:$F$19),0)</f>
        <v/>
      </c>
      <c r="M8" s="48">
        <f>COUNTIF($A$10:$A$19,"A")</f>
        <v/>
      </c>
      <c r="N8" s="49">
        <f>REPT("█",ROUND(L8*20,0))</f>
        <v/>
      </c>
      <c r="R8" s="50" t="inlineStr">
        <is>
          <t>Rank</t>
        </is>
      </c>
      <c r="S8" s="50" t="inlineStr">
        <is>
          <t>ABC Ord.</t>
        </is>
      </c>
      <c r="T8" s="50" t="inlineStr">
        <is>
          <t>Rotulo</t>
        </is>
      </c>
      <c r="U8" s="50" t="inlineStr">
        <is>
          <t>V.T. Ord.</t>
        </is>
      </c>
      <c r="V8" s="50" t="inlineStr">
        <is>
          <t>% Acum. Ord.</t>
        </is>
      </c>
      <c r="W8" s="51" t="inlineStr">
        <is>
          <t>V.T. A</t>
        </is>
      </c>
      <c r="X8" s="52" t="inlineStr">
        <is>
          <t>V.T. B</t>
        </is>
      </c>
      <c r="Y8" s="53" t="inlineStr">
        <is>
          <t>V.T. C</t>
        </is>
      </c>
    </row>
    <row r="9" ht="6" customHeight="1">
      <c r="J9" s="54" t="inlineStr">
        <is>
          <t>B</t>
        </is>
      </c>
      <c r="K9" s="55">
        <f>SUMIF($A$10:$A$19,"B",$F$10:$F$19)</f>
        <v/>
      </c>
      <c r="L9" s="56">
        <f>IFERROR(K9/SUM($F$10:$F$19),0)</f>
        <v/>
      </c>
      <c r="M9" s="57">
        <f>COUNTIF($A$10:$A$19,"B")</f>
        <v/>
      </c>
      <c r="N9" s="58">
        <f>REPT("█",ROUND(L9*20,0))</f>
        <v/>
      </c>
    </row>
    <row r="10" ht="19" customHeight="1">
      <c r="A10" s="48">
        <f>IF($H10&lt;=$E$5,"A",IF($H10&lt;=$G$5,"B","C"))</f>
        <v/>
      </c>
      <c r="B10" s="59" t="inlineStr">
        <is>
          <t>Servidor Backup</t>
        </is>
      </c>
      <c r="C10" s="60" t="n">
        <v>3</v>
      </c>
      <c r="D10" s="61" t="n">
        <v>2</v>
      </c>
      <c r="E10" s="62" t="n">
        <v>25000</v>
      </c>
      <c r="F10" s="63">
        <f>IFERROR(D10*E10,0)</f>
        <v/>
      </c>
      <c r="G10" s="64">
        <f>IFERROR(F10/SUM($F$10:$F$19),0)</f>
        <v/>
      </c>
      <c r="H10" s="64">
        <f>IFERROR(SUMIF($F$10:$F$19,"&gt;="&amp;F10,$F$10:$F$19)/SUM($F$10:$F$19),0)</f>
        <v/>
      </c>
      <c r="J10" s="65" t="inlineStr">
        <is>
          <t>C</t>
        </is>
      </c>
      <c r="K10" s="66">
        <f>SUMIF($A$10:$A$19,"C",$F$10:$F$19)</f>
        <v/>
      </c>
      <c r="L10" s="67">
        <f>IFERROR(K10/SUM($F$10:$F$19),0)</f>
        <v/>
      </c>
      <c r="M10" s="68">
        <f>COUNTIF($A$10:$A$19,"C")</f>
        <v/>
      </c>
      <c r="N10" s="69">
        <f>REPT("█",ROUND(L10*20,0))</f>
        <v/>
      </c>
      <c r="R10" s="70">
        <f>RANK.EQ(F10,$F$10:$F$19,0)+COUNTIF($F$10:F10,F10)-1</f>
        <v/>
      </c>
      <c r="S10" s="70">
        <f>INDEX($A$10:$A$19,MATCH(ROWS($S$10:S10),$R$10:$R$19,0))</f>
        <v/>
      </c>
      <c r="T10" s="71">
        <f>INDEX($B$10:$B$19,MATCH(ROWS($T$10:T10),$R$10:$R$19,0))&amp;" ("&amp;S10&amp;")"</f>
        <v/>
      </c>
      <c r="U10" s="72">
        <f>INDEX($F$10:$F$19,MATCH(ROWS($U$10:U10),$R$10:$R$19,0))</f>
        <v/>
      </c>
      <c r="V10" s="73">
        <f>INDEX($H$10:$H$19,MATCH(ROWS($V$10:V10),$R$10:$R$19,0))</f>
        <v/>
      </c>
      <c r="W10" s="74">
        <f>IF($S10="A",$U10,NA())</f>
        <v/>
      </c>
      <c r="X10" s="75">
        <f>IF($S10="B",$U10,NA())</f>
        <v/>
      </c>
      <c r="Y10" s="76">
        <f>IF($S10="C",$U10,NA())</f>
        <v/>
      </c>
    </row>
    <row r="11" ht="19" customHeight="1">
      <c r="A11" s="48">
        <f>IF($H11&lt;=$E$5,"A",IF($H11&lt;=$G$5,"B","C"))</f>
        <v/>
      </c>
      <c r="B11" s="59" t="inlineStr">
        <is>
          <t>Monitor 27" 4K</t>
        </is>
      </c>
      <c r="C11" s="60" t="n">
        <v>5</v>
      </c>
      <c r="D11" s="61" t="n">
        <v>10</v>
      </c>
      <c r="E11" s="62" t="n">
        <v>3000</v>
      </c>
      <c r="F11" s="63">
        <f>IFERROR(D11*E11,0)</f>
        <v/>
      </c>
      <c r="G11" s="64">
        <f>IFERROR(F11/SUM($F$10:$F$19),0)</f>
        <v/>
      </c>
      <c r="H11" s="64">
        <f>IFERROR(SUMIF($F$10:$F$19,"&gt;="&amp;F11,$F$10:$F$19)/SUM($F$10:$F$19),0)</f>
        <v/>
      </c>
      <c r="J11" s="77">
        <f>IF(IFERROR(MAX($H$10:$H$19),0)&gt;1.0001,"ALERTA: acumulado &gt; 100%","OK - CONSISTENTE")</f>
        <v/>
      </c>
      <c r="R11" s="70">
        <f>RANK.EQ(F11,$F$10:$F$19,0)+COUNTIF($F$10:F11,F11)-1</f>
        <v/>
      </c>
      <c r="S11" s="70">
        <f>INDEX($A$10:$A$19,MATCH(ROWS($S$10:S11),$R$10:$R$19,0))</f>
        <v/>
      </c>
      <c r="T11" s="71">
        <f>INDEX($B$10:$B$19,MATCH(ROWS($T$10:T11),$R$10:$R$19,0))&amp;" ("&amp;S11&amp;")"</f>
        <v/>
      </c>
      <c r="U11" s="72">
        <f>INDEX($F$10:$F$19,MATCH(ROWS($U$10:U11),$R$10:$R$19,0))</f>
        <v/>
      </c>
      <c r="V11" s="73">
        <f>INDEX($H$10:$H$19,MATCH(ROWS($V$10:V11),$R$10:$R$19,0))</f>
        <v/>
      </c>
      <c r="W11" s="74">
        <f>IF($S11="A",$U11,NA())</f>
        <v/>
      </c>
      <c r="X11" s="75">
        <f>IF($S11="B",$U11,NA())</f>
        <v/>
      </c>
      <c r="Y11" s="76">
        <f>IF($S11="C",$U11,NA())</f>
        <v/>
      </c>
    </row>
    <row r="12" ht="19" customHeight="1">
      <c r="A12" s="78">
        <f>IF($H12&lt;=$E$5,"A",IF($H12&lt;=$G$5,"B","C"))</f>
        <v/>
      </c>
      <c r="B12" s="79" t="inlineStr">
        <is>
          <t>Notebook Administrativo</t>
        </is>
      </c>
      <c r="C12" s="80" t="n">
        <v>9</v>
      </c>
      <c r="D12" s="61" t="n">
        <v>6</v>
      </c>
      <c r="E12" s="62" t="n">
        <v>4500</v>
      </c>
      <c r="F12" s="81">
        <f>IFERROR(D12*E12,0)</f>
        <v/>
      </c>
      <c r="G12" s="82">
        <f>IFERROR(F12/SUM($F$10:$F$19),0)</f>
        <v/>
      </c>
      <c r="H12" s="82">
        <f>IFERROR(SUMIF($F$10:$F$19,"&gt;="&amp;F12,$F$10:$F$19)/SUM($F$10:$F$19),0)</f>
        <v/>
      </c>
      <c r="R12" s="70">
        <f>RANK.EQ(F12,$F$10:$F$19,0)+COUNTIF($F$10:F12,F12)-1</f>
        <v/>
      </c>
      <c r="S12" s="70">
        <f>INDEX($A$10:$A$19,MATCH(ROWS($S$10:S12),$R$10:$R$19,0))</f>
        <v/>
      </c>
      <c r="T12" s="71">
        <f>INDEX($B$10:$B$19,MATCH(ROWS($T$10:T12),$R$10:$R$19,0))&amp;" ("&amp;S12&amp;")"</f>
        <v/>
      </c>
      <c r="U12" s="72">
        <f>INDEX($F$10:$F$19,MATCH(ROWS($U$10:U12),$R$10:$R$19,0))</f>
        <v/>
      </c>
      <c r="V12" s="73">
        <f>INDEX($H$10:$H$19,MATCH(ROWS($V$10:V12),$R$10:$R$19,0))</f>
        <v/>
      </c>
      <c r="W12" s="74">
        <f>IF($S12="A",$U12,NA())</f>
        <v/>
      </c>
      <c r="X12" s="75">
        <f>IF($S12="B",$U12,NA())</f>
        <v/>
      </c>
      <c r="Y12" s="76">
        <f>IF($S12="C",$U12,NA())</f>
        <v/>
      </c>
    </row>
    <row r="13" ht="19" customHeight="1">
      <c r="A13" s="78">
        <f>IF($H13&lt;=$E$5,"A",IF($H13&lt;=$G$5,"B","C"))</f>
        <v/>
      </c>
      <c r="B13" s="79" t="inlineStr">
        <is>
          <t>Nobreak Profissional</t>
        </is>
      </c>
      <c r="C13" s="80" t="n">
        <v>1</v>
      </c>
      <c r="D13" s="61" t="n">
        <v>5</v>
      </c>
      <c r="E13" s="62" t="n">
        <v>2000</v>
      </c>
      <c r="F13" s="81">
        <f>IFERROR(D13*E13,0)</f>
        <v/>
      </c>
      <c r="G13" s="82">
        <f>IFERROR(F13/SUM($F$10:$F$19),0)</f>
        <v/>
      </c>
      <c r="H13" s="82">
        <f>IFERROR(SUMIF($F$10:$F$19,"&gt;="&amp;F13,$F$10:$F$19)/SUM($F$10:$F$19),0)</f>
        <v/>
      </c>
      <c r="R13" s="70">
        <f>RANK.EQ(F13,$F$10:$F$19,0)+COUNTIF($F$10:F13,F13)-1</f>
        <v/>
      </c>
      <c r="S13" s="70">
        <f>INDEX($A$10:$A$19,MATCH(ROWS($S$10:S13),$R$10:$R$19,0))</f>
        <v/>
      </c>
      <c r="T13" s="71">
        <f>INDEX($B$10:$B$19,MATCH(ROWS($T$10:T13),$R$10:$R$19,0))&amp;" ("&amp;S13&amp;")"</f>
        <v/>
      </c>
      <c r="U13" s="72">
        <f>INDEX($F$10:$F$19,MATCH(ROWS($U$10:U13),$R$10:$R$19,0))</f>
        <v/>
      </c>
      <c r="V13" s="73">
        <f>INDEX($H$10:$H$19,MATCH(ROWS($V$10:V13),$R$10:$R$19,0))</f>
        <v/>
      </c>
      <c r="W13" s="74">
        <f>IF($S13="A",$U13,NA())</f>
        <v/>
      </c>
      <c r="X13" s="75">
        <f>IF($S13="B",$U13,NA())</f>
        <v/>
      </c>
      <c r="Y13" s="76">
        <f>IF($S13="C",$U13,NA())</f>
        <v/>
      </c>
    </row>
    <row r="14" ht="19" customHeight="1">
      <c r="A14" s="78">
        <f>IF($H14&lt;=$E$5,"A",IF($H14&lt;=$G$5,"B","C"))</f>
        <v/>
      </c>
      <c r="B14" s="79" t="inlineStr">
        <is>
          <t>Switch Gerenciavel</t>
        </is>
      </c>
      <c r="C14" s="80" t="n">
        <v>7</v>
      </c>
      <c r="D14" s="61" t="n">
        <v>4</v>
      </c>
      <c r="E14" s="62" t="n">
        <v>1500</v>
      </c>
      <c r="F14" s="81">
        <f>IFERROR(D14*E14,0)</f>
        <v/>
      </c>
      <c r="G14" s="82">
        <f>IFERROR(F14/SUM($F$10:$F$19),0)</f>
        <v/>
      </c>
      <c r="H14" s="82">
        <f>IFERROR(SUMIF($F$10:$F$19,"&gt;="&amp;F14,$F$10:$F$19)/SUM($F$10:$F$19),0)</f>
        <v/>
      </c>
      <c r="R14" s="70">
        <f>RANK.EQ(F14,$F$10:$F$19,0)+COUNTIF($F$10:F14,F14)-1</f>
        <v/>
      </c>
      <c r="S14" s="70">
        <f>INDEX($A$10:$A$19,MATCH(ROWS($S$10:S14),$R$10:$R$19,0))</f>
        <v/>
      </c>
      <c r="T14" s="71">
        <f>INDEX($B$10:$B$19,MATCH(ROWS($T$10:T14),$R$10:$R$19,0))&amp;" ("&amp;S14&amp;")"</f>
        <v/>
      </c>
      <c r="U14" s="72">
        <f>INDEX($F$10:$F$19,MATCH(ROWS($U$10:U14),$R$10:$R$19,0))</f>
        <v/>
      </c>
      <c r="V14" s="73">
        <f>INDEX($H$10:$H$19,MATCH(ROWS($V$10:V14),$R$10:$R$19,0))</f>
        <v/>
      </c>
      <c r="W14" s="74">
        <f>IF($S14="A",$U14,NA())</f>
        <v/>
      </c>
      <c r="X14" s="75">
        <f>IF($S14="B",$U14,NA())</f>
        <v/>
      </c>
      <c r="Y14" s="76">
        <f>IF($S14="C",$U14,NA())</f>
        <v/>
      </c>
    </row>
    <row r="15" ht="19" customHeight="1">
      <c r="A15" s="68">
        <f>IF($H15&lt;=$E$5,"A",IF($H15&lt;=$G$5,"B","C"))</f>
        <v/>
      </c>
      <c r="B15" s="83" t="inlineStr">
        <is>
          <t>Mouse sem fio</t>
        </is>
      </c>
      <c r="C15" s="84" t="n">
        <v>4</v>
      </c>
      <c r="D15" s="61" t="n">
        <v>40</v>
      </c>
      <c r="E15" s="62" t="n">
        <v>50</v>
      </c>
      <c r="F15" s="85">
        <f>IFERROR(D15*E15,0)</f>
        <v/>
      </c>
      <c r="G15" s="86">
        <f>IFERROR(F15/SUM($F$10:$F$19),0)</f>
        <v/>
      </c>
      <c r="H15" s="86">
        <f>IFERROR(SUMIF($F$10:$F$19,"&gt;="&amp;F15,$F$10:$F$19)/SUM($F$10:$F$19),0)</f>
        <v/>
      </c>
      <c r="R15" s="70">
        <f>RANK.EQ(F15,$F$10:$F$19,0)+COUNTIF($F$10:F15,F15)-1</f>
        <v/>
      </c>
      <c r="S15" s="70">
        <f>INDEX($A$10:$A$19,MATCH(ROWS($S$10:S15),$R$10:$R$19,0))</f>
        <v/>
      </c>
      <c r="T15" s="71">
        <f>INDEX($B$10:$B$19,MATCH(ROWS($T$10:T15),$R$10:$R$19,0))&amp;" ("&amp;S15&amp;")"</f>
        <v/>
      </c>
      <c r="U15" s="72">
        <f>INDEX($F$10:$F$19,MATCH(ROWS($U$10:U15),$R$10:$R$19,0))</f>
        <v/>
      </c>
      <c r="V15" s="73">
        <f>INDEX($H$10:$H$19,MATCH(ROWS($V$10:V15),$R$10:$R$19,0))</f>
        <v/>
      </c>
      <c r="W15" s="74">
        <f>IF($S15="A",$U15,NA())</f>
        <v/>
      </c>
      <c r="X15" s="75">
        <f>IF($S15="B",$U15,NA())</f>
        <v/>
      </c>
      <c r="Y15" s="76">
        <f>IF($S15="C",$U15,NA())</f>
        <v/>
      </c>
    </row>
    <row r="16" ht="19" customHeight="1">
      <c r="A16" s="68">
        <f>IF($H16&lt;=$E$5,"A",IF($H16&lt;=$G$5,"B","C"))</f>
        <v/>
      </c>
      <c r="B16" s="83" t="inlineStr">
        <is>
          <t>Patch Cord 1m</t>
        </is>
      </c>
      <c r="C16" s="84" t="n">
        <v>8</v>
      </c>
      <c r="D16" s="61" t="n">
        <v>100</v>
      </c>
      <c r="E16" s="62" t="n">
        <v>15</v>
      </c>
      <c r="F16" s="85">
        <f>IFERROR(D16*E16,0)</f>
        <v/>
      </c>
      <c r="G16" s="86">
        <f>IFERROR(F16/SUM($F$10:$F$19),0)</f>
        <v/>
      </c>
      <c r="H16" s="86">
        <f>IFERROR(SUMIF($F$10:$F$19,"&gt;="&amp;F16,$F$10:$F$19)/SUM($F$10:$F$19),0)</f>
        <v/>
      </c>
      <c r="R16" s="70">
        <f>RANK.EQ(F16,$F$10:$F$19,0)+COUNTIF($F$10:F16,F16)-1</f>
        <v/>
      </c>
      <c r="S16" s="70">
        <f>INDEX($A$10:$A$19,MATCH(ROWS($S$10:S16),$R$10:$R$19,0))</f>
        <v/>
      </c>
      <c r="T16" s="71">
        <f>INDEX($B$10:$B$19,MATCH(ROWS($T$10:T16),$R$10:$R$19,0))&amp;" ("&amp;S16&amp;")"</f>
        <v/>
      </c>
      <c r="U16" s="72">
        <f>INDEX($F$10:$F$19,MATCH(ROWS($U$10:U16),$R$10:$R$19,0))</f>
        <v/>
      </c>
      <c r="V16" s="73">
        <f>INDEX($H$10:$H$19,MATCH(ROWS($V$10:V16),$R$10:$R$19,0))</f>
        <v/>
      </c>
      <c r="W16" s="74">
        <f>IF($S16="A",$U16,NA())</f>
        <v/>
      </c>
      <c r="X16" s="75">
        <f>IF($S16="B",$U16,NA())</f>
        <v/>
      </c>
      <c r="Y16" s="76">
        <f>IF($S16="C",$U16,NA())</f>
        <v/>
      </c>
    </row>
    <row r="17" ht="19" customHeight="1">
      <c r="A17" s="68">
        <f>IF($H17&lt;=$E$5,"A",IF($H17&lt;=$G$5,"B","C"))</f>
        <v/>
      </c>
      <c r="B17" s="83" t="inlineStr">
        <is>
          <t>Teclado USB</t>
        </is>
      </c>
      <c r="C17" s="84" t="n">
        <v>6</v>
      </c>
      <c r="D17" s="61" t="n">
        <v>80</v>
      </c>
      <c r="E17" s="62" t="n">
        <v>35</v>
      </c>
      <c r="F17" s="85">
        <f>IFERROR(D17*E17,0)</f>
        <v/>
      </c>
      <c r="G17" s="86">
        <f>IFERROR(F17/SUM($F$10:$F$19),0)</f>
        <v/>
      </c>
      <c r="H17" s="86">
        <f>IFERROR(SUMIF($F$10:$F$19,"&gt;="&amp;F17,$F$10:$F$19)/SUM($F$10:$F$19),0)</f>
        <v/>
      </c>
      <c r="R17" s="70">
        <f>RANK.EQ(F17,$F$10:$F$19,0)+COUNTIF($F$10:F17,F17)-1</f>
        <v/>
      </c>
      <c r="S17" s="70">
        <f>INDEX($A$10:$A$19,MATCH(ROWS($S$10:S17),$R$10:$R$19,0))</f>
        <v/>
      </c>
      <c r="T17" s="71">
        <f>INDEX($B$10:$B$19,MATCH(ROWS($T$10:T17),$R$10:$R$19,0))&amp;" ("&amp;S17&amp;")"</f>
        <v/>
      </c>
      <c r="U17" s="72">
        <f>INDEX($F$10:$F$19,MATCH(ROWS($U$10:U17),$R$10:$R$19,0))</f>
        <v/>
      </c>
      <c r="V17" s="73">
        <f>INDEX($H$10:$H$19,MATCH(ROWS($V$10:V17),$R$10:$R$19,0))</f>
        <v/>
      </c>
      <c r="W17" s="74">
        <f>IF($S17="A",$U17,NA())</f>
        <v/>
      </c>
      <c r="X17" s="75">
        <f>IF($S17="B",$U17,NA())</f>
        <v/>
      </c>
      <c r="Y17" s="76">
        <f>IF($S17="C",$U17,NA())</f>
        <v/>
      </c>
    </row>
    <row r="18" ht="19" customHeight="1">
      <c r="A18" s="68">
        <f>IF($H18&lt;=$E$5,"A",IF($H18&lt;=$G$5,"B","C"))</f>
        <v/>
      </c>
      <c r="B18" s="83" t="inlineStr">
        <is>
          <t>Cabo Rede Cat6 (m)</t>
        </is>
      </c>
      <c r="C18" s="84" t="n">
        <v>2</v>
      </c>
      <c r="D18" s="61" t="n">
        <v>200</v>
      </c>
      <c r="E18" s="62" t="n">
        <v>8</v>
      </c>
      <c r="F18" s="85">
        <f>IFERROR(D18*E18,0)</f>
        <v/>
      </c>
      <c r="G18" s="86">
        <f>IFERROR(F18/SUM($F$10:$F$19),0)</f>
        <v/>
      </c>
      <c r="H18" s="86">
        <f>IFERROR(SUMIF($F$10:$F$19,"&gt;="&amp;F18,$F$10:$F$19)/SUM($F$10:$F$19),0)</f>
        <v/>
      </c>
      <c r="R18" s="70">
        <f>RANK.EQ(F18,$F$10:$F$19,0)+COUNTIF($F$10:F18,F18)-1</f>
        <v/>
      </c>
      <c r="S18" s="70">
        <f>INDEX($A$10:$A$19,MATCH(ROWS($S$10:S18),$R$10:$R$19,0))</f>
        <v/>
      </c>
      <c r="T18" s="71">
        <f>INDEX($B$10:$B$19,MATCH(ROWS($T$10:T18),$R$10:$R$19,0))&amp;" ("&amp;S18&amp;")"</f>
        <v/>
      </c>
      <c r="U18" s="72">
        <f>INDEX($F$10:$F$19,MATCH(ROWS($U$10:U18),$R$10:$R$19,0))</f>
        <v/>
      </c>
      <c r="V18" s="73">
        <f>INDEX($H$10:$H$19,MATCH(ROWS($V$10:V18),$R$10:$R$19,0))</f>
        <v/>
      </c>
      <c r="W18" s="74">
        <f>IF($S18="A",$U18,NA())</f>
        <v/>
      </c>
      <c r="X18" s="75">
        <f>IF($S18="B",$U18,NA())</f>
        <v/>
      </c>
      <c r="Y18" s="76">
        <f>IF($S18="C",$U18,NA())</f>
        <v/>
      </c>
    </row>
    <row r="19" ht="19" customHeight="1">
      <c r="A19" s="68">
        <f>IF($H19&lt;=$E$5,"A",IF($H19&lt;=$G$5,"B","C"))</f>
        <v/>
      </c>
      <c r="B19" s="83" t="inlineStr">
        <is>
          <t>Mousepad Slim</t>
        </is>
      </c>
      <c r="C19" s="84" t="n">
        <v>10</v>
      </c>
      <c r="D19" s="61" t="n">
        <v>120</v>
      </c>
      <c r="E19" s="62" t="n">
        <v>12</v>
      </c>
      <c r="F19" s="85">
        <f>IFERROR(D19*E19,0)</f>
        <v/>
      </c>
      <c r="G19" s="86">
        <f>IFERROR(F19/SUM($F$10:$F$19),0)</f>
        <v/>
      </c>
      <c r="H19" s="86">
        <f>IFERROR(SUMIF($F$10:$F$19,"&gt;="&amp;F19,$F$10:$F$19)/SUM($F$10:$F$19),0)</f>
        <v/>
      </c>
      <c r="R19" s="70">
        <f>RANK.EQ(F19,$F$10:$F$19,0)+COUNTIF($F$10:F19,F19)-1</f>
        <v/>
      </c>
      <c r="S19" s="70">
        <f>INDEX($A$10:$A$19,MATCH(ROWS($S$10:S19),$R$10:$R$19,0))</f>
        <v/>
      </c>
      <c r="T19" s="71">
        <f>INDEX($B$10:$B$19,MATCH(ROWS($T$10:T19),$R$10:$R$19,0))&amp;" ("&amp;S19&amp;")"</f>
        <v/>
      </c>
      <c r="U19" s="72">
        <f>INDEX($F$10:$F$19,MATCH(ROWS($U$10:U19),$R$10:$R$19,0))</f>
        <v/>
      </c>
      <c r="V19" s="73">
        <f>INDEX($H$10:$H$19,MATCH(ROWS($V$10:V19),$R$10:$R$19,0))</f>
        <v/>
      </c>
      <c r="W19" s="74">
        <f>IF($S19="A",$U19,NA())</f>
        <v/>
      </c>
      <c r="X19" s="75">
        <f>IF($S19="B",$U19,NA())</f>
        <v/>
      </c>
      <c r="Y19" s="76">
        <f>IF($S19="C",$U19,NA())</f>
        <v/>
      </c>
    </row>
    <row r="20" ht="22" customHeight="1">
      <c r="A20" s="87" t="inlineStr">
        <is>
          <t>TOTAL GERAL</t>
        </is>
      </c>
      <c r="B20" s="88" t="n"/>
      <c r="C20" s="88" t="n"/>
      <c r="D20" s="89">
        <f>SUM(D10:D19)</f>
        <v/>
      </c>
      <c r="E20" s="90" t="n"/>
      <c r="F20" s="91">
        <f>SUM(F10:F19)</f>
        <v/>
      </c>
      <c r="G20" s="92" t="n">
        <v>1</v>
      </c>
      <c r="H20" s="92" t="n">
        <v>1</v>
      </c>
    </row>
    <row r="51" ht="18" customHeight="1">
      <c r="A51" s="14" t="inlineStr">
        <is>
          <t xml:space="preserve">  CURVA ABC REGGAE  |  CURVA ABC REGGAE  —  PRIMEIRA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6">
    <mergeCell ref="G2:H2"/>
    <mergeCell ref="A51:B51"/>
    <mergeCell ref="A51:H51"/>
    <mergeCell ref="C5:D5"/>
    <mergeCell ref="E5:F5"/>
    <mergeCell ref="J1:N1"/>
    <mergeCell ref="A1:H1"/>
    <mergeCell ref="A6:H6"/>
    <mergeCell ref="C4:D4"/>
    <mergeCell ref="E4:F4"/>
    <mergeCell ref="E51:F51"/>
    <mergeCell ref="A3:B3"/>
    <mergeCell ref="G3:H3"/>
    <mergeCell ref="A20:C20"/>
    <mergeCell ref="A2:B2"/>
    <mergeCell ref="C2:D2"/>
    <mergeCell ref="J11:N11"/>
    <mergeCell ref="E2:F2"/>
    <mergeCell ref="C51:D51"/>
    <mergeCell ref="A5:B5"/>
    <mergeCell ref="G5:H5"/>
    <mergeCell ref="A4:B4"/>
    <mergeCell ref="G4:H4"/>
    <mergeCell ref="G51:H51"/>
    <mergeCell ref="C3:D3"/>
    <mergeCell ref="E3:F3"/>
  </mergeCells>
  <conditionalFormatting sqref="A10:H1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8A400"/>
    <outlinePr summaryBelow="1" summaryRight="1"/>
    <pageSetUpPr/>
  </sheetPr>
  <dimension ref="A1:Y6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2" customWidth="1" min="15" max="15"/>
    <col width="2" customWidth="1" min="16" max="16"/>
    <col width="2" customWidth="1" min="17" max="17"/>
    <col width="8" customWidth="1" min="18" max="18"/>
    <col width="6" customWidth="1" min="19" max="19"/>
    <col width="38" customWidth="1" min="20" max="20"/>
    <col width="16" customWidth="1" min="21" max="21"/>
    <col width="13" customWidth="1" min="22" max="22"/>
    <col width="16" customWidth="1" min="23" max="23"/>
    <col width="16" customWidth="1" min="24" max="24"/>
    <col width="16" customWidth="1" min="25" max="25"/>
  </cols>
  <sheetData>
    <row r="1" ht="50" customHeight="1">
      <c r="A1" s="15" t="inlineStr">
        <is>
          <t>CURVA ABC REGGAE  —  ABA 01</t>
        </is>
      </c>
      <c r="I1" s="4" t="n"/>
      <c r="J1" s="16" t="inlineStr">
        <is>
          <t>A = ate 80%   |   B = 80-95%   |   C = 95-100%</t>
        </is>
      </c>
    </row>
    <row r="2" ht="22" customHeight="1">
      <c r="A2" s="17" t="inlineStr">
        <is>
          <t>V.T. TOTAL</t>
        </is>
      </c>
      <c r="B2" s="18" t="n"/>
      <c r="C2" s="19" t="inlineStr">
        <is>
          <t>V.T. CLASSE A</t>
        </is>
      </c>
      <c r="D2" s="18" t="n"/>
      <c r="E2" s="20" t="inlineStr">
        <is>
          <t>% ITENS A</t>
        </is>
      </c>
      <c r="F2" s="18" t="n"/>
      <c r="G2" s="21" t="inlineStr">
        <is>
          <t>MAIOR V.T.</t>
        </is>
      </c>
      <c r="H2" s="22" t="n"/>
      <c r="J2" s="1" t="n"/>
      <c r="K2" s="1" t="n"/>
      <c r="L2" s="1" t="n"/>
      <c r="M2" s="1" t="n"/>
      <c r="N2" s="1" t="n"/>
    </row>
    <row r="3" ht="32" customHeight="1">
      <c r="A3" s="23">
        <f>SUM($F$10:$F$29)</f>
        <v/>
      </c>
      <c r="B3" s="24" t="n"/>
      <c r="C3" s="25">
        <f>SUMIF($A$10:$A$29,"A",$F$10:$F$29)</f>
        <v/>
      </c>
      <c r="D3" s="24" t="n"/>
      <c r="E3" s="26">
        <f>IFERROR(COUNTIF($A$10:$A$29,"A")/COUNTA($B$10:$B$29),0)</f>
        <v/>
      </c>
      <c r="F3" s="24" t="n"/>
      <c r="G3" s="27">
        <f>MAX($F$10:$F$29)</f>
        <v/>
      </c>
      <c r="H3" s="28" t="n"/>
      <c r="J3" s="1" t="n"/>
      <c r="K3" s="1" t="n"/>
      <c r="L3" s="1" t="n"/>
      <c r="M3" s="1" t="n"/>
      <c r="N3" s="1" t="n"/>
    </row>
    <row r="4" ht="22" customHeight="1">
      <c r="A4" s="29" t="inlineStr">
        <is>
          <t>MENOR V.T.</t>
        </is>
      </c>
      <c r="B4" s="24" t="n"/>
      <c r="C4" s="30" t="inlineStr">
        <is>
          <t>STATUS</t>
        </is>
      </c>
      <c r="D4" s="24" t="n"/>
      <c r="E4" s="31" t="inlineStr">
        <is>
          <t>LIMITE A</t>
        </is>
      </c>
      <c r="F4" s="24" t="n"/>
      <c r="G4" s="32" t="inlineStr">
        <is>
          <t>LIMITE B</t>
        </is>
      </c>
      <c r="H4" s="28" t="n"/>
      <c r="J4" s="1" t="n"/>
      <c r="K4" s="1" t="n"/>
      <c r="L4" s="1" t="n"/>
      <c r="M4" s="1" t="n"/>
      <c r="N4" s="1" t="n"/>
    </row>
    <row r="5" ht="32" customHeight="1">
      <c r="A5" s="33">
        <f>MIN($F$10:$F$29)</f>
        <v/>
      </c>
      <c r="B5" s="34" t="n"/>
      <c r="C5" s="35">
        <f>IF(IFERROR(MAX($H$10:$H$29),0)&gt;1.0001,"VERIFICAR","CONSISTENTE")</f>
        <v/>
      </c>
      <c r="D5" s="34" t="n"/>
      <c r="E5" s="36" t="n">
        <v>0.8</v>
      </c>
      <c r="F5" s="34" t="n"/>
      <c r="G5" s="37" t="n">
        <v>0.95</v>
      </c>
      <c r="H5" s="38" t="n"/>
      <c r="J5" s="1" t="n"/>
      <c r="K5" s="1" t="n"/>
      <c r="L5" s="1" t="n"/>
      <c r="M5" s="1" t="n"/>
      <c r="N5" s="1" t="n"/>
    </row>
    <row r="6" ht="18" customHeight="1">
      <c r="A6" s="39" t="inlineStr">
        <is>
          <t xml:space="preserve">  Analise de Estoque | Tecnologia da Informacao | Dashboard Premium  |  Edite somente Quant. e Custo Unit. — formulas, ABC e graficos atualizam automaticamente.</t>
        </is>
      </c>
    </row>
    <row r="7" ht="18" customHeight="1">
      <c r="J7" s="40" t="inlineStr">
        <is>
          <t>Classe</t>
        </is>
      </c>
      <c r="K7" s="40" t="inlineStr">
        <is>
          <t>Total V.T.</t>
        </is>
      </c>
      <c r="L7" s="40" t="inlineStr">
        <is>
          <t>% Total</t>
        </is>
      </c>
      <c r="M7" s="40" t="inlineStr">
        <is>
          <t>Qtd. Itens</t>
        </is>
      </c>
      <c r="N7" s="40" t="inlineStr">
        <is>
          <t>Barra Rapida</t>
        </is>
      </c>
    </row>
    <row r="8" ht="26" customHeight="1">
      <c r="A8" s="41" t="inlineStr">
        <is>
          <t>ABC</t>
        </is>
      </c>
      <c r="B8" s="42" t="inlineStr">
        <is>
          <t>Descricao do Item</t>
        </is>
      </c>
      <c r="C8" s="43" t="inlineStr">
        <is>
          <t>Cod./ID</t>
        </is>
      </c>
      <c r="D8" s="44" t="inlineStr">
        <is>
          <t>Quant.</t>
        </is>
      </c>
      <c r="E8" s="44" t="inlineStr">
        <is>
          <t>Custo Unit. (R$)</t>
        </is>
      </c>
      <c r="F8" s="41" t="inlineStr">
        <is>
          <t>V.T. (R$)</t>
        </is>
      </c>
      <c r="G8" s="43" t="inlineStr">
        <is>
          <t>% Individual</t>
        </is>
      </c>
      <c r="H8" s="43" t="inlineStr">
        <is>
          <t>% Acumulado</t>
        </is>
      </c>
      <c r="J8" s="45" t="inlineStr">
        <is>
          <t>A</t>
        </is>
      </c>
      <c r="K8" s="46">
        <f>SUMIF($A$10:$A$29,"A",$F$10:$F$29)</f>
        <v/>
      </c>
      <c r="L8" s="47">
        <f>IFERROR(K8/SUM($F$10:$F$29),0)</f>
        <v/>
      </c>
      <c r="M8" s="48">
        <f>COUNTIF($A$10:$A$29,"A")</f>
        <v/>
      </c>
      <c r="N8" s="49">
        <f>REPT("█",ROUND(L8*20,0))</f>
        <v/>
      </c>
      <c r="R8" s="50" t="inlineStr">
        <is>
          <t>Rank</t>
        </is>
      </c>
      <c r="S8" s="50" t="inlineStr">
        <is>
          <t>ABC Ord.</t>
        </is>
      </c>
      <c r="T8" s="50" t="inlineStr">
        <is>
          <t>Rotulo</t>
        </is>
      </c>
      <c r="U8" s="50" t="inlineStr">
        <is>
          <t>V.T. Ord.</t>
        </is>
      </c>
      <c r="V8" s="50" t="inlineStr">
        <is>
          <t>% Acum. Ord.</t>
        </is>
      </c>
      <c r="W8" s="51" t="inlineStr">
        <is>
          <t>V.T. A</t>
        </is>
      </c>
      <c r="X8" s="52" t="inlineStr">
        <is>
          <t>V.T. B</t>
        </is>
      </c>
      <c r="Y8" s="53" t="inlineStr">
        <is>
          <t>V.T. C</t>
        </is>
      </c>
    </row>
    <row r="9" ht="6" customHeight="1">
      <c r="J9" s="54" t="inlineStr">
        <is>
          <t>B</t>
        </is>
      </c>
      <c r="K9" s="55">
        <f>SUMIF($A$10:$A$29,"B",$F$10:$F$29)</f>
        <v/>
      </c>
      <c r="L9" s="56">
        <f>IFERROR(K9/SUM($F$10:$F$29),0)</f>
        <v/>
      </c>
      <c r="M9" s="57">
        <f>COUNTIF($A$10:$A$29,"B")</f>
        <v/>
      </c>
      <c r="N9" s="58">
        <f>REPT("█",ROUND(L9*20,0))</f>
        <v/>
      </c>
    </row>
    <row r="10" ht="19" customHeight="1">
      <c r="A10" s="48">
        <f>IF($H10&lt;=$E$5,"A",IF($H10&lt;=$G$5,"B","C"))</f>
        <v/>
      </c>
      <c r="B10" s="59" t="inlineStr">
        <is>
          <t>Notebook Executivo i7</t>
        </is>
      </c>
      <c r="C10" s="60" t="n">
        <v>10</v>
      </c>
      <c r="D10" s="61" t="n">
        <v>35</v>
      </c>
      <c r="E10" s="62" t="n">
        <v>6500</v>
      </c>
      <c r="F10" s="63">
        <f>IFERROR(D10*E10,0)</f>
        <v/>
      </c>
      <c r="G10" s="64">
        <f>IFERROR(F10/SUM($F$10:$F$29),0)</f>
        <v/>
      </c>
      <c r="H10" s="64">
        <f>IFERROR(SUMIF($F$10:$F$29,"&gt;="&amp;F10,$F$10:$F$29)/SUM($F$10:$F$29),0)</f>
        <v/>
      </c>
      <c r="J10" s="65" t="inlineStr">
        <is>
          <t>C</t>
        </is>
      </c>
      <c r="K10" s="66">
        <f>SUMIF($A$10:$A$29,"C",$F$10:$F$29)</f>
        <v/>
      </c>
      <c r="L10" s="67">
        <f>IFERROR(K10/SUM($F$10:$F$29),0)</f>
        <v/>
      </c>
      <c r="M10" s="68">
        <f>COUNTIF($A$10:$A$29,"C")</f>
        <v/>
      </c>
      <c r="N10" s="69">
        <f>REPT("█",ROUND(L10*20,0))</f>
        <v/>
      </c>
      <c r="R10" s="70">
        <f>RANK.EQ(F10,$F$10:$F$29,0)+COUNTIF($F$10:F10,F10)-1</f>
        <v/>
      </c>
      <c r="S10" s="70">
        <f>INDEX($A$10:$A$29,MATCH(ROWS($S$10:S10),$R$10:$R$29,0))</f>
        <v/>
      </c>
      <c r="T10" s="71">
        <f>INDEX($B$10:$B$29,MATCH(ROWS($T$10:T10),$R$10:$R$29,0))&amp;" ("&amp;S10&amp;")"</f>
        <v/>
      </c>
      <c r="U10" s="72">
        <f>INDEX($F$10:$F$29,MATCH(ROWS($U$10:U10),$R$10:$R$29,0))</f>
        <v/>
      </c>
      <c r="V10" s="73">
        <f>INDEX($H$10:$H$29,MATCH(ROWS($V$10:V10),$R$10:$R$29,0))</f>
        <v/>
      </c>
      <c r="W10" s="74">
        <f>IF($S10="A",$U10,NA())</f>
        <v/>
      </c>
      <c r="X10" s="75">
        <f>IF($S10="B",$U10,NA())</f>
        <v/>
      </c>
      <c r="Y10" s="76">
        <f>IF($S10="C",$U10,NA())</f>
        <v/>
      </c>
    </row>
    <row r="11" ht="19" customHeight="1">
      <c r="A11" s="48">
        <f>IF($H11&lt;=$E$5,"A",IF($H11&lt;=$G$5,"B","C"))</f>
        <v/>
      </c>
      <c r="B11" s="59" t="inlineStr">
        <is>
          <t>Servidor de Dados Pro</t>
        </is>
      </c>
      <c r="C11" s="60" t="n">
        <v>2</v>
      </c>
      <c r="D11" s="61" t="n">
        <v>12</v>
      </c>
      <c r="E11" s="62" t="n">
        <v>15000</v>
      </c>
      <c r="F11" s="63">
        <f>IFERROR(D11*E11,0)</f>
        <v/>
      </c>
      <c r="G11" s="64">
        <f>IFERROR(F11/SUM($F$10:$F$29),0)</f>
        <v/>
      </c>
      <c r="H11" s="64">
        <f>IFERROR(SUMIF($F$10:$F$29,"&gt;="&amp;F11,$F$10:$F$29)/SUM($F$10:$F$29),0)</f>
        <v/>
      </c>
      <c r="J11" s="77">
        <f>IF(IFERROR(MAX($H$10:$H$29),0)&gt;1.0001,"ALERTA: acumulado &gt; 100%","OK - CONSISTENTE")</f>
        <v/>
      </c>
      <c r="R11" s="70">
        <f>RANK.EQ(F11,$F$10:$F$29,0)+COUNTIF($F$10:F11,F11)-1</f>
        <v/>
      </c>
      <c r="S11" s="70">
        <f>INDEX($A$10:$A$29,MATCH(ROWS($S$10:S11),$R$10:$R$29,0))</f>
        <v/>
      </c>
      <c r="T11" s="71">
        <f>INDEX($B$10:$B$29,MATCH(ROWS($T$10:T11),$R$10:$R$29,0))&amp;" ("&amp;S11&amp;")"</f>
        <v/>
      </c>
      <c r="U11" s="72">
        <f>INDEX($F$10:$F$29,MATCH(ROWS($U$10:U11),$R$10:$R$29,0))</f>
        <v/>
      </c>
      <c r="V11" s="73">
        <f>INDEX($H$10:$H$29,MATCH(ROWS($V$10:V11),$R$10:$R$29,0))</f>
        <v/>
      </c>
      <c r="W11" s="74">
        <f>IF($S11="A",$U11,NA())</f>
        <v/>
      </c>
      <c r="X11" s="75">
        <f>IF($S11="B",$U11,NA())</f>
        <v/>
      </c>
      <c r="Y11" s="76">
        <f>IF($S11="C",$U11,NA())</f>
        <v/>
      </c>
    </row>
    <row r="12" ht="19" customHeight="1">
      <c r="A12" s="48">
        <f>IF($H12&lt;=$E$5,"A",IF($H12&lt;=$G$5,"B","C"))</f>
        <v/>
      </c>
      <c r="B12" s="59" t="inlineStr">
        <is>
          <t>Impressora Multifuncional</t>
        </is>
      </c>
      <c r="C12" s="60" t="n">
        <v>17</v>
      </c>
      <c r="D12" s="61" t="n">
        <v>55</v>
      </c>
      <c r="E12" s="62" t="n">
        <v>1100</v>
      </c>
      <c r="F12" s="63">
        <f>IFERROR(D12*E12,0)</f>
        <v/>
      </c>
      <c r="G12" s="64">
        <f>IFERROR(F12/SUM($F$10:$F$29),0)</f>
        <v/>
      </c>
      <c r="H12" s="64">
        <f>IFERROR(SUMIF($F$10:$F$29,"&gt;="&amp;F12,$F$10:$F$29)/SUM($F$10:$F$29),0)</f>
        <v/>
      </c>
      <c r="R12" s="70">
        <f>RANK.EQ(F12,$F$10:$F$29,0)+COUNTIF($F$10:F12,F12)-1</f>
        <v/>
      </c>
      <c r="S12" s="70">
        <f>INDEX($A$10:$A$29,MATCH(ROWS($S$10:S12),$R$10:$R$29,0))</f>
        <v/>
      </c>
      <c r="T12" s="71">
        <f>INDEX($B$10:$B$29,MATCH(ROWS($T$10:T12),$R$10:$R$29,0))&amp;" ("&amp;S12&amp;")"</f>
        <v/>
      </c>
      <c r="U12" s="72">
        <f>INDEX($F$10:$F$29,MATCH(ROWS($U$10:U12),$R$10:$R$29,0))</f>
        <v/>
      </c>
      <c r="V12" s="73">
        <f>INDEX($H$10:$H$29,MATCH(ROWS($V$10:V12),$R$10:$R$29,0))</f>
        <v/>
      </c>
      <c r="W12" s="74">
        <f>IF($S12="A",$U12,NA())</f>
        <v/>
      </c>
      <c r="X12" s="75">
        <f>IF($S12="B",$U12,NA())</f>
        <v/>
      </c>
      <c r="Y12" s="76">
        <f>IF($S12="C",$U12,NA())</f>
        <v/>
      </c>
    </row>
    <row r="13" ht="19" customHeight="1">
      <c r="A13" s="48">
        <f>IF($H13&lt;=$E$5,"A",IF($H13&lt;=$G$5,"B","C"))</f>
        <v/>
      </c>
      <c r="B13" s="59" t="inlineStr">
        <is>
          <t>Toner Impressora Laser</t>
        </is>
      </c>
      <c r="C13" s="60" t="n">
        <v>12</v>
      </c>
      <c r="D13" s="61" t="n">
        <v>68</v>
      </c>
      <c r="E13" s="62" t="n">
        <v>680</v>
      </c>
      <c r="F13" s="63">
        <f>IFERROR(D13*E13,0)</f>
        <v/>
      </c>
      <c r="G13" s="64">
        <f>IFERROR(F13/SUM($F$10:$F$29),0)</f>
        <v/>
      </c>
      <c r="H13" s="64">
        <f>IFERROR(SUMIF($F$10:$F$29,"&gt;="&amp;F13,$F$10:$F$29)/SUM($F$10:$F$29),0)</f>
        <v/>
      </c>
      <c r="R13" s="70">
        <f>RANK.EQ(F13,$F$10:$F$29,0)+COUNTIF($F$10:F13,F13)-1</f>
        <v/>
      </c>
      <c r="S13" s="70">
        <f>INDEX($A$10:$A$29,MATCH(ROWS($S$10:S13),$R$10:$R$29,0))</f>
        <v/>
      </c>
      <c r="T13" s="71">
        <f>INDEX($B$10:$B$29,MATCH(ROWS($T$10:T13),$R$10:$R$29,0))&amp;" ("&amp;S13&amp;")"</f>
        <v/>
      </c>
      <c r="U13" s="72">
        <f>INDEX($F$10:$F$29,MATCH(ROWS($U$10:U13),$R$10:$R$29,0))</f>
        <v/>
      </c>
      <c r="V13" s="73">
        <f>INDEX($H$10:$H$29,MATCH(ROWS($V$10:V13),$R$10:$R$29,0))</f>
        <v/>
      </c>
      <c r="W13" s="74">
        <f>IF($S13="A",$U13,NA())</f>
        <v/>
      </c>
      <c r="X13" s="75">
        <f>IF($S13="B",$U13,NA())</f>
        <v/>
      </c>
      <c r="Y13" s="76">
        <f>IF($S13="C",$U13,NA())</f>
        <v/>
      </c>
    </row>
    <row r="14" ht="19" customHeight="1">
      <c r="A14" s="78">
        <f>IF($H14&lt;=$E$5,"A",IF($H14&lt;=$G$5,"B","C"))</f>
        <v/>
      </c>
      <c r="B14" s="79" t="inlineStr">
        <is>
          <t>Memoria RAM 16GB</t>
        </is>
      </c>
      <c r="C14" s="80" t="n">
        <v>19</v>
      </c>
      <c r="D14" s="61" t="n">
        <v>45</v>
      </c>
      <c r="E14" s="62" t="n">
        <v>380</v>
      </c>
      <c r="F14" s="81">
        <f>IFERROR(D14*E14,0)</f>
        <v/>
      </c>
      <c r="G14" s="82">
        <f>IFERROR(F14/SUM($F$10:$F$29),0)</f>
        <v/>
      </c>
      <c r="H14" s="82">
        <f>IFERROR(SUMIF($F$10:$F$29,"&gt;="&amp;F14,$F$10:$F$29)/SUM($F$10:$F$29),0)</f>
        <v/>
      </c>
      <c r="R14" s="70">
        <f>RANK.EQ(F14,$F$10:$F$29,0)+COUNTIF($F$10:F14,F14)-1</f>
        <v/>
      </c>
      <c r="S14" s="70">
        <f>INDEX($A$10:$A$29,MATCH(ROWS($S$10:S14),$R$10:$R$29,0))</f>
        <v/>
      </c>
      <c r="T14" s="71">
        <f>INDEX($B$10:$B$29,MATCH(ROWS($T$10:T14),$R$10:$R$29,0))&amp;" ("&amp;S14&amp;")"</f>
        <v/>
      </c>
      <c r="U14" s="72">
        <f>INDEX($F$10:$F$29,MATCH(ROWS($U$10:U14),$R$10:$R$29,0))</f>
        <v/>
      </c>
      <c r="V14" s="73">
        <f>INDEX($H$10:$H$29,MATCH(ROWS($V$10:V14),$R$10:$R$29,0))</f>
        <v/>
      </c>
      <c r="W14" s="74">
        <f>IF($S14="A",$U14,NA())</f>
        <v/>
      </c>
      <c r="X14" s="75">
        <f>IF($S14="B",$U14,NA())</f>
        <v/>
      </c>
      <c r="Y14" s="76">
        <f>IF($S14="C",$U14,NA())</f>
        <v/>
      </c>
    </row>
    <row r="15" ht="19" customHeight="1">
      <c r="A15" s="78">
        <f>IF($H15&lt;=$E$5,"A",IF($H15&lt;=$G$5,"B","C"))</f>
        <v/>
      </c>
      <c r="B15" s="79" t="inlineStr">
        <is>
          <t>Monitor LED 24"</t>
        </is>
      </c>
      <c r="C15" s="80" t="n">
        <v>4</v>
      </c>
      <c r="D15" s="61" t="n">
        <v>20</v>
      </c>
      <c r="E15" s="62" t="n">
        <v>850</v>
      </c>
      <c r="F15" s="81">
        <f>IFERROR(D15*E15,0)</f>
        <v/>
      </c>
      <c r="G15" s="82">
        <f>IFERROR(F15/SUM($F$10:$F$29),0)</f>
        <v/>
      </c>
      <c r="H15" s="82">
        <f>IFERROR(SUMIF($F$10:$F$29,"&gt;="&amp;F15,$F$10:$F$29)/SUM($F$10:$F$29),0)</f>
        <v/>
      </c>
      <c r="R15" s="70">
        <f>RANK.EQ(F15,$F$10:$F$29,0)+COUNTIF($F$10:F15,F15)-1</f>
        <v/>
      </c>
      <c r="S15" s="70">
        <f>INDEX($A$10:$A$29,MATCH(ROWS($S$10:S15),$R$10:$R$29,0))</f>
        <v/>
      </c>
      <c r="T15" s="71">
        <f>INDEX($B$10:$B$29,MATCH(ROWS($T$10:T15),$R$10:$R$29,0))&amp;" ("&amp;S15&amp;")"</f>
        <v/>
      </c>
      <c r="U15" s="72">
        <f>INDEX($F$10:$F$29,MATCH(ROWS($U$10:U15),$R$10:$R$29,0))</f>
        <v/>
      </c>
      <c r="V15" s="73">
        <f>INDEX($H$10:$H$29,MATCH(ROWS($V$10:V15),$R$10:$R$29,0))</f>
        <v/>
      </c>
      <c r="W15" s="74">
        <f>IF($S15="A",$U15,NA())</f>
        <v/>
      </c>
      <c r="X15" s="75">
        <f>IF($S15="B",$U15,NA())</f>
        <v/>
      </c>
      <c r="Y15" s="76">
        <f>IF($S15="C",$U15,NA())</f>
        <v/>
      </c>
    </row>
    <row r="16" ht="19" customHeight="1">
      <c r="A16" s="78">
        <f>IF($H16&lt;=$E$5,"A",IF($H16&lt;=$G$5,"B","C"))</f>
        <v/>
      </c>
      <c r="B16" s="79" t="inlineStr">
        <is>
          <t>Webcam Full HD</t>
        </is>
      </c>
      <c r="C16" s="80" t="n">
        <v>14</v>
      </c>
      <c r="D16" s="61" t="n">
        <v>82</v>
      </c>
      <c r="E16" s="62" t="n">
        <v>180</v>
      </c>
      <c r="F16" s="81">
        <f>IFERROR(D16*E16,0)</f>
        <v/>
      </c>
      <c r="G16" s="82">
        <f>IFERROR(F16/SUM($F$10:$F$29),0)</f>
        <v/>
      </c>
      <c r="H16" s="82">
        <f>IFERROR(SUMIF($F$10:$F$29,"&gt;="&amp;F16,$F$10:$F$29)/SUM($F$10:$F$29),0)</f>
        <v/>
      </c>
      <c r="R16" s="70">
        <f>RANK.EQ(F16,$F$10:$F$29,0)+COUNTIF($F$10:F16,F16)-1</f>
        <v/>
      </c>
      <c r="S16" s="70">
        <f>INDEX($A$10:$A$29,MATCH(ROWS($S$10:S16),$R$10:$R$29,0))</f>
        <v/>
      </c>
      <c r="T16" s="71">
        <f>INDEX($B$10:$B$29,MATCH(ROWS($T$10:T16),$R$10:$R$29,0))&amp;" ("&amp;S16&amp;")"</f>
        <v/>
      </c>
      <c r="U16" s="72">
        <f>INDEX($F$10:$F$29,MATCH(ROWS($U$10:U16),$R$10:$R$29,0))</f>
        <v/>
      </c>
      <c r="V16" s="73">
        <f>INDEX($H$10:$H$29,MATCH(ROWS($V$10:V16),$R$10:$R$29,0))</f>
        <v/>
      </c>
      <c r="W16" s="74">
        <f>IF($S16="A",$U16,NA())</f>
        <v/>
      </c>
      <c r="X16" s="75">
        <f>IF($S16="B",$U16,NA())</f>
        <v/>
      </c>
      <c r="Y16" s="76">
        <f>IF($S16="C",$U16,NA())</f>
        <v/>
      </c>
    </row>
    <row r="17" ht="19" customHeight="1">
      <c r="A17" s="78">
        <f>IF($H17&lt;=$E$5,"A",IF($H17&lt;=$G$5,"B","C"))</f>
        <v/>
      </c>
      <c r="B17" s="79" t="inlineStr">
        <is>
          <t>Roteador Wi-Fi 6</t>
        </is>
      </c>
      <c r="C17" s="80" t="n">
        <v>11</v>
      </c>
      <c r="D17" s="61" t="n">
        <v>15</v>
      </c>
      <c r="E17" s="62" t="n">
        <v>650</v>
      </c>
      <c r="F17" s="81">
        <f>IFERROR(D17*E17,0)</f>
        <v/>
      </c>
      <c r="G17" s="82">
        <f>IFERROR(F17/SUM($F$10:$F$29),0)</f>
        <v/>
      </c>
      <c r="H17" s="82">
        <f>IFERROR(SUMIF($F$10:$F$29,"&gt;="&amp;F17,$F$10:$F$29)/SUM($F$10:$F$29),0)</f>
        <v/>
      </c>
      <c r="R17" s="70">
        <f>RANK.EQ(F17,$F$10:$F$29,0)+COUNTIF($F$10:F17,F17)-1</f>
        <v/>
      </c>
      <c r="S17" s="70">
        <f>INDEX($A$10:$A$29,MATCH(ROWS($S$10:S17),$R$10:$R$29,0))</f>
        <v/>
      </c>
      <c r="T17" s="71">
        <f>INDEX($B$10:$B$29,MATCH(ROWS($T$10:T17),$R$10:$R$29,0))&amp;" ("&amp;S17&amp;")"</f>
        <v/>
      </c>
      <c r="U17" s="72">
        <f>INDEX($F$10:$F$29,MATCH(ROWS($U$10:U17),$R$10:$R$29,0))</f>
        <v/>
      </c>
      <c r="V17" s="73">
        <f>INDEX($H$10:$H$29,MATCH(ROWS($V$10:V17),$R$10:$R$29,0))</f>
        <v/>
      </c>
      <c r="W17" s="74">
        <f>IF($S17="A",$U17,NA())</f>
        <v/>
      </c>
      <c r="X17" s="75">
        <f>IF($S17="B",$U17,NA())</f>
        <v/>
      </c>
      <c r="Y17" s="76">
        <f>IF($S17="C",$U17,NA())</f>
        <v/>
      </c>
    </row>
    <row r="18" ht="19" customHeight="1">
      <c r="A18" s="78">
        <f>IF($H18&lt;=$E$5,"A",IF($H18&lt;=$G$5,"B","C"))</f>
        <v/>
      </c>
      <c r="B18" s="79" t="inlineStr">
        <is>
          <t>SSD 480GB Sata</t>
        </is>
      </c>
      <c r="C18" s="80" t="n">
        <v>15</v>
      </c>
      <c r="D18" s="61" t="n">
        <v>55</v>
      </c>
      <c r="E18" s="62" t="n">
        <v>190</v>
      </c>
      <c r="F18" s="81">
        <f>IFERROR(D18*E18,0)</f>
        <v/>
      </c>
      <c r="G18" s="82">
        <f>IFERROR(F18/SUM($F$10:$F$29),0)</f>
        <v/>
      </c>
      <c r="H18" s="82">
        <f>IFERROR(SUMIF($F$10:$F$29,"&gt;="&amp;F18,$F$10:$F$29)/SUM($F$10:$F$29),0)</f>
        <v/>
      </c>
      <c r="R18" s="70">
        <f>RANK.EQ(F18,$F$10:$F$29,0)+COUNTIF($F$10:F18,F18)-1</f>
        <v/>
      </c>
      <c r="S18" s="70">
        <f>INDEX($A$10:$A$29,MATCH(ROWS($S$10:S18),$R$10:$R$29,0))</f>
        <v/>
      </c>
      <c r="T18" s="71">
        <f>INDEX($B$10:$B$29,MATCH(ROWS($T$10:T18),$R$10:$R$29,0))&amp;" ("&amp;S18&amp;")"</f>
        <v/>
      </c>
      <c r="U18" s="72">
        <f>INDEX($F$10:$F$29,MATCH(ROWS($U$10:U18),$R$10:$R$29,0))</f>
        <v/>
      </c>
      <c r="V18" s="73">
        <f>INDEX($H$10:$H$29,MATCH(ROWS($V$10:V18),$R$10:$R$29,0))</f>
        <v/>
      </c>
      <c r="W18" s="74">
        <f>IF($S18="A",$U18,NA())</f>
        <v/>
      </c>
      <c r="X18" s="75">
        <f>IF($S18="B",$U18,NA())</f>
        <v/>
      </c>
      <c r="Y18" s="76">
        <f>IF($S18="C",$U18,NA())</f>
        <v/>
      </c>
    </row>
    <row r="19" ht="19" customHeight="1">
      <c r="A19" s="78">
        <f>IF($H19&lt;=$E$5,"A",IF($H19&lt;=$G$5,"B","C"))</f>
        <v/>
      </c>
      <c r="B19" s="79" t="inlineStr">
        <is>
          <t>Nobreak 1500VA</t>
        </is>
      </c>
      <c r="C19" s="80" t="n">
        <v>6</v>
      </c>
      <c r="D19" s="61" t="n">
        <v>8</v>
      </c>
      <c r="E19" s="62" t="n">
        <v>1200</v>
      </c>
      <c r="F19" s="81">
        <f>IFERROR(D19*E19,0)</f>
        <v/>
      </c>
      <c r="G19" s="82">
        <f>IFERROR(F19/SUM($F$10:$F$29),0)</f>
        <v/>
      </c>
      <c r="H19" s="82">
        <f>IFERROR(SUMIF($F$10:$F$29,"&gt;="&amp;F19,$F$10:$F$29)/SUM($F$10:$F$29),0)</f>
        <v/>
      </c>
      <c r="R19" s="70">
        <f>RANK.EQ(F19,$F$10:$F$29,0)+COUNTIF($F$10:F19,F19)-1</f>
        <v/>
      </c>
      <c r="S19" s="70">
        <f>INDEX($A$10:$A$29,MATCH(ROWS($S$10:S19),$R$10:$R$29,0))</f>
        <v/>
      </c>
      <c r="T19" s="71">
        <f>INDEX($B$10:$B$29,MATCH(ROWS($T$10:T19),$R$10:$R$29,0))&amp;" ("&amp;S19&amp;")"</f>
        <v/>
      </c>
      <c r="U19" s="72">
        <f>INDEX($F$10:$F$29,MATCH(ROWS($U$10:U19),$R$10:$R$29,0))</f>
        <v/>
      </c>
      <c r="V19" s="73">
        <f>INDEX($H$10:$H$29,MATCH(ROWS($V$10:V19),$R$10:$R$29,0))</f>
        <v/>
      </c>
      <c r="W19" s="74">
        <f>IF($S19="A",$U19,NA())</f>
        <v/>
      </c>
      <c r="X19" s="75">
        <f>IF($S19="B",$U19,NA())</f>
        <v/>
      </c>
      <c r="Y19" s="76">
        <f>IF($S19="C",$U19,NA())</f>
        <v/>
      </c>
    </row>
    <row r="20" ht="19" customHeight="1">
      <c r="A20" s="78">
        <f>IF($H20&lt;=$E$5,"A",IF($H20&lt;=$G$5,"B","C"))</f>
        <v/>
      </c>
      <c r="B20" s="79" t="inlineStr">
        <is>
          <t>HD Externo 2TB</t>
        </is>
      </c>
      <c r="C20" s="80" t="n">
        <v>20</v>
      </c>
      <c r="D20" s="61" t="n">
        <v>18</v>
      </c>
      <c r="E20" s="62" t="n">
        <v>420</v>
      </c>
      <c r="F20" s="81">
        <f>IFERROR(D20*E20,0)</f>
        <v/>
      </c>
      <c r="G20" s="82">
        <f>IFERROR(F20/SUM($F$10:$F$29),0)</f>
        <v/>
      </c>
      <c r="H20" s="82">
        <f>IFERROR(SUMIF($F$10:$F$29,"&gt;="&amp;F20,$F$10:$F$29)/SUM($F$10:$F$29),0)</f>
        <v/>
      </c>
      <c r="R20" s="70">
        <f>RANK.EQ(F20,$F$10:$F$29,0)+COUNTIF($F$10:F20,F20)-1</f>
        <v/>
      </c>
      <c r="S20" s="70">
        <f>INDEX($A$10:$A$29,MATCH(ROWS($S$10:S20),$R$10:$R$29,0))</f>
        <v/>
      </c>
      <c r="T20" s="71">
        <f>INDEX($B$10:$B$29,MATCH(ROWS($T$10:T20),$R$10:$R$29,0))&amp;" ("&amp;S20&amp;")"</f>
        <v/>
      </c>
      <c r="U20" s="72">
        <f>INDEX($F$10:$F$29,MATCH(ROWS($U$10:U20),$R$10:$R$29,0))</f>
        <v/>
      </c>
      <c r="V20" s="73">
        <f>INDEX($H$10:$H$29,MATCH(ROWS($V$10:V20),$R$10:$R$29,0))</f>
        <v/>
      </c>
      <c r="W20" s="74">
        <f>IF($S20="A",$U20,NA())</f>
        <v/>
      </c>
      <c r="X20" s="75">
        <f>IF($S20="B",$U20,NA())</f>
        <v/>
      </c>
      <c r="Y20" s="76">
        <f>IF($S20="C",$U20,NA())</f>
        <v/>
      </c>
    </row>
    <row r="21" ht="19" customHeight="1">
      <c r="A21" s="78">
        <f>IF($H21&lt;=$E$5,"A",IF($H21&lt;=$G$5,"B","C"))</f>
        <v/>
      </c>
      <c r="B21" s="79" t="inlineStr">
        <is>
          <t>Teclado Mecanico RGB</t>
        </is>
      </c>
      <c r="C21" s="80" t="n">
        <v>5</v>
      </c>
      <c r="D21" s="61" t="n">
        <v>30</v>
      </c>
      <c r="E21" s="62" t="n">
        <v>250</v>
      </c>
      <c r="F21" s="81">
        <f>IFERROR(D21*E21,0)</f>
        <v/>
      </c>
      <c r="G21" s="82">
        <f>IFERROR(F21/SUM($F$10:$F$29),0)</f>
        <v/>
      </c>
      <c r="H21" s="82">
        <f>IFERROR(SUMIF($F$10:$F$29,"&gt;="&amp;F21,$F$10:$F$29)/SUM($F$10:$F$29),0)</f>
        <v/>
      </c>
      <c r="R21" s="70">
        <f>RANK.EQ(F21,$F$10:$F$29,0)+COUNTIF($F$10:F21,F21)-1</f>
        <v/>
      </c>
      <c r="S21" s="70">
        <f>INDEX($A$10:$A$29,MATCH(ROWS($S$10:S21),$R$10:$R$29,0))</f>
        <v/>
      </c>
      <c r="T21" s="71">
        <f>INDEX($B$10:$B$29,MATCH(ROWS($T$10:T21),$R$10:$R$29,0))&amp;" ("&amp;S21&amp;")"</f>
        <v/>
      </c>
      <c r="U21" s="72">
        <f>INDEX($F$10:$F$29,MATCH(ROWS($U$10:U21),$R$10:$R$29,0))</f>
        <v/>
      </c>
      <c r="V21" s="73">
        <f>INDEX($H$10:$H$29,MATCH(ROWS($V$10:V21),$R$10:$R$29,0))</f>
        <v/>
      </c>
      <c r="W21" s="74">
        <f>IF($S21="A",$U21,NA())</f>
        <v/>
      </c>
      <c r="X21" s="75">
        <f>IF($S21="B",$U21,NA())</f>
        <v/>
      </c>
      <c r="Y21" s="76">
        <f>IF($S21="C",$U21,NA())</f>
        <v/>
      </c>
    </row>
    <row r="22" ht="19" customHeight="1">
      <c r="A22" s="68">
        <f>IF($H22&lt;=$E$5,"A",IF($H22&lt;=$G$5,"B","C"))</f>
        <v/>
      </c>
      <c r="B22" s="83" t="inlineStr">
        <is>
          <t>Pen Drive 64GB</t>
        </is>
      </c>
      <c r="C22" s="84" t="n">
        <v>9</v>
      </c>
      <c r="D22" s="61" t="n">
        <v>160</v>
      </c>
      <c r="E22" s="62" t="n">
        <v>45</v>
      </c>
      <c r="F22" s="85">
        <f>IFERROR(D22*E22,0)</f>
        <v/>
      </c>
      <c r="G22" s="86">
        <f>IFERROR(F22/SUM($F$10:$F$29),0)</f>
        <v/>
      </c>
      <c r="H22" s="86">
        <f>IFERROR(SUMIF($F$10:$F$29,"&gt;="&amp;F22,$F$10:$F$29)/SUM($F$10:$F$29),0)</f>
        <v/>
      </c>
      <c r="R22" s="70">
        <f>RANK.EQ(F22,$F$10:$F$29,0)+COUNTIF($F$10:F22,F22)-1</f>
        <v/>
      </c>
      <c r="S22" s="70">
        <f>INDEX($A$10:$A$29,MATCH(ROWS($S$10:S22),$R$10:$R$29,0))</f>
        <v/>
      </c>
      <c r="T22" s="71">
        <f>INDEX($B$10:$B$29,MATCH(ROWS($T$10:T22),$R$10:$R$29,0))&amp;" ("&amp;S22&amp;")"</f>
        <v/>
      </c>
      <c r="U22" s="72">
        <f>INDEX($F$10:$F$29,MATCH(ROWS($U$10:U22),$R$10:$R$29,0))</f>
        <v/>
      </c>
      <c r="V22" s="73">
        <f>INDEX($H$10:$H$29,MATCH(ROWS($V$10:V22),$R$10:$R$29,0))</f>
        <v/>
      </c>
      <c r="W22" s="74">
        <f>IF($S22="A",$U22,NA())</f>
        <v/>
      </c>
      <c r="X22" s="75">
        <f>IF($S22="B",$U22,NA())</f>
        <v/>
      </c>
      <c r="Y22" s="76">
        <f>IF($S22="C",$U22,NA())</f>
        <v/>
      </c>
    </row>
    <row r="23" ht="19" customHeight="1">
      <c r="A23" s="68">
        <f>IF($H23&lt;=$E$5,"A",IF($H23&lt;=$G$5,"B","C"))</f>
        <v/>
      </c>
      <c r="B23" s="83" t="inlineStr">
        <is>
          <t>Headset com Microfone</t>
        </is>
      </c>
      <c r="C23" s="84" t="n">
        <v>13</v>
      </c>
      <c r="D23" s="61" t="n">
        <v>64</v>
      </c>
      <c r="E23" s="62" t="n">
        <v>110</v>
      </c>
      <c r="F23" s="85">
        <f>IFERROR(D23*E23,0)</f>
        <v/>
      </c>
      <c r="G23" s="86">
        <f>IFERROR(F23/SUM($F$10:$F$29),0)</f>
        <v/>
      </c>
      <c r="H23" s="86">
        <f>IFERROR(SUMIF($F$10:$F$29,"&gt;="&amp;F23,$F$10:$F$29)/SUM($F$10:$F$29),0)</f>
        <v/>
      </c>
      <c r="R23" s="70">
        <f>RANK.EQ(F23,$F$10:$F$29,0)+COUNTIF($F$10:F23,F23)-1</f>
        <v/>
      </c>
      <c r="S23" s="70">
        <f>INDEX($A$10:$A$29,MATCH(ROWS($S$10:S23),$R$10:$R$29,0))</f>
        <v/>
      </c>
      <c r="T23" s="71">
        <f>INDEX($B$10:$B$29,MATCH(ROWS($T$10:T23),$R$10:$R$29,0))&amp;" ("&amp;S23&amp;")"</f>
        <v/>
      </c>
      <c r="U23" s="72">
        <f>INDEX($F$10:$F$29,MATCH(ROWS($U$10:U23),$R$10:$R$29,0))</f>
        <v/>
      </c>
      <c r="V23" s="73">
        <f>INDEX($H$10:$H$29,MATCH(ROWS($V$10:V23),$R$10:$R$29,0))</f>
        <v/>
      </c>
      <c r="W23" s="74">
        <f>IF($S23="A",$U23,NA())</f>
        <v/>
      </c>
      <c r="X23" s="75">
        <f>IF($S23="B",$U23,NA())</f>
        <v/>
      </c>
      <c r="Y23" s="76">
        <f>IF($S23="C",$U23,NA())</f>
        <v/>
      </c>
    </row>
    <row r="24" ht="19" customHeight="1">
      <c r="A24" s="68">
        <f>IF($H24&lt;=$E$5,"A",IF($H24&lt;=$G$5,"B","C"))</f>
        <v/>
      </c>
      <c r="B24" s="83" t="inlineStr">
        <is>
          <t>Pacote de Papel A4 (500fls)</t>
        </is>
      </c>
      <c r="C24" s="84" t="n">
        <v>7</v>
      </c>
      <c r="D24" s="61" t="n">
        <v>237</v>
      </c>
      <c r="E24" s="62" t="n">
        <v>28</v>
      </c>
      <c r="F24" s="85">
        <f>IFERROR(D24*E24,0)</f>
        <v/>
      </c>
      <c r="G24" s="86">
        <f>IFERROR(F24/SUM($F$10:$F$29),0)</f>
        <v/>
      </c>
      <c r="H24" s="86">
        <f>IFERROR(SUMIF($F$10:$F$29,"&gt;="&amp;F24,$F$10:$F$29)/SUM($F$10:$F$29),0)</f>
        <v/>
      </c>
      <c r="R24" s="70">
        <f>RANK.EQ(F24,$F$10:$F$29,0)+COUNTIF($F$10:F24,F24)-1</f>
        <v/>
      </c>
      <c r="S24" s="70">
        <f>INDEX($A$10:$A$29,MATCH(ROWS($S$10:S24),$R$10:$R$29,0))</f>
        <v/>
      </c>
      <c r="T24" s="71">
        <f>INDEX($B$10:$B$29,MATCH(ROWS($T$10:T24),$R$10:$R$29,0))&amp;" ("&amp;S24&amp;")"</f>
        <v/>
      </c>
      <c r="U24" s="72">
        <f>INDEX($F$10:$F$29,MATCH(ROWS($U$10:U24),$R$10:$R$29,0))</f>
        <v/>
      </c>
      <c r="V24" s="73">
        <f>INDEX($H$10:$H$29,MATCH(ROWS($V$10:V24),$R$10:$R$29,0))</f>
        <v/>
      </c>
      <c r="W24" s="74">
        <f>IF($S24="A",$U24,NA())</f>
        <v/>
      </c>
      <c r="X24" s="75">
        <f>IF($S24="B",$U24,NA())</f>
        <v/>
      </c>
      <c r="Y24" s="76">
        <f>IF($S24="C",$U24,NA())</f>
        <v/>
      </c>
    </row>
    <row r="25" ht="19" customHeight="1">
      <c r="A25" s="68">
        <f>IF($H25&lt;=$E$5,"A",IF($H25&lt;=$G$5,"B","C"))</f>
        <v/>
      </c>
      <c r="B25" s="83" t="inlineStr">
        <is>
          <t>Filtro de Linha 5 Tom.</t>
        </is>
      </c>
      <c r="C25" s="84" t="n">
        <v>18</v>
      </c>
      <c r="D25" s="61" t="n">
        <v>110</v>
      </c>
      <c r="E25" s="62" t="n">
        <v>40</v>
      </c>
      <c r="F25" s="85">
        <f>IFERROR(D25*E25,0)</f>
        <v/>
      </c>
      <c r="G25" s="86">
        <f>IFERROR(F25/SUM($F$10:$F$29),0)</f>
        <v/>
      </c>
      <c r="H25" s="86">
        <f>IFERROR(SUMIF($F$10:$F$29,"&gt;="&amp;F25,$F$10:$F$29)/SUM($F$10:$F$29),0)</f>
        <v/>
      </c>
      <c r="R25" s="70">
        <f>RANK.EQ(F25,$F$10:$F$29,0)+COUNTIF($F$10:F25,F25)-1</f>
        <v/>
      </c>
      <c r="S25" s="70">
        <f>INDEX($A$10:$A$29,MATCH(ROWS($S$10:S25),$R$10:$R$29,0))</f>
        <v/>
      </c>
      <c r="T25" s="71">
        <f>INDEX($B$10:$B$29,MATCH(ROWS($T$10:T25),$R$10:$R$29,0))&amp;" ("&amp;S25&amp;")"</f>
        <v/>
      </c>
      <c r="U25" s="72">
        <f>INDEX($F$10:$F$29,MATCH(ROWS($U$10:U25),$R$10:$R$29,0))</f>
        <v/>
      </c>
      <c r="V25" s="73">
        <f>INDEX($H$10:$H$29,MATCH(ROWS($V$10:V25),$R$10:$R$29,0))</f>
        <v/>
      </c>
      <c r="W25" s="74">
        <f>IF($S25="A",$U25,NA())</f>
        <v/>
      </c>
      <c r="X25" s="75">
        <f>IF($S25="B",$U25,NA())</f>
        <v/>
      </c>
      <c r="Y25" s="76">
        <f>IF($S25="C",$U25,NA())</f>
        <v/>
      </c>
    </row>
    <row r="26" ht="19" customHeight="1">
      <c r="A26" s="68">
        <f>IF($H26&lt;=$E$5,"A",IF($H26&lt;=$G$5,"B","C"))</f>
        <v/>
      </c>
      <c r="B26" s="83" t="inlineStr">
        <is>
          <t>Cabo HDMI 2m</t>
        </is>
      </c>
      <c r="C26" s="84" t="n">
        <v>1</v>
      </c>
      <c r="D26" s="61" t="n">
        <v>150</v>
      </c>
      <c r="E26" s="62" t="n">
        <v>25</v>
      </c>
      <c r="F26" s="85">
        <f>IFERROR(D26*E26,0)</f>
        <v/>
      </c>
      <c r="G26" s="86">
        <f>IFERROR(F26/SUM($F$10:$F$29),0)</f>
        <v/>
      </c>
      <c r="H26" s="86">
        <f>IFERROR(SUMIF($F$10:$F$29,"&gt;="&amp;F26,$F$10:$F$29)/SUM($F$10:$F$29),0)</f>
        <v/>
      </c>
      <c r="R26" s="70">
        <f>RANK.EQ(F26,$F$10:$F$29,0)+COUNTIF($F$10:F26,F26)-1</f>
        <v/>
      </c>
      <c r="S26" s="70">
        <f>INDEX($A$10:$A$29,MATCH(ROWS($S$10:S26),$R$10:$R$29,0))</f>
        <v/>
      </c>
      <c r="T26" s="71">
        <f>INDEX($B$10:$B$29,MATCH(ROWS($T$10:T26),$R$10:$R$29,0))&amp;" ("&amp;S26&amp;")"</f>
        <v/>
      </c>
      <c r="U26" s="72">
        <f>INDEX($F$10:$F$29,MATCH(ROWS($U$10:U26),$R$10:$R$29,0))</f>
        <v/>
      </c>
      <c r="V26" s="73">
        <f>INDEX($H$10:$H$29,MATCH(ROWS($V$10:V26),$R$10:$R$29,0))</f>
        <v/>
      </c>
      <c r="W26" s="74">
        <f>IF($S26="A",$U26,NA())</f>
        <v/>
      </c>
      <c r="X26" s="75">
        <f>IF($S26="B",$U26,NA())</f>
        <v/>
      </c>
      <c r="Y26" s="76">
        <f>IF($S26="C",$U26,NA())</f>
        <v/>
      </c>
    </row>
    <row r="27" ht="19" customHeight="1">
      <c r="A27" s="68">
        <f>IF($H27&lt;=$E$5,"A",IF($H27&lt;=$G$5,"B","C"))</f>
        <v/>
      </c>
      <c r="B27" s="83" t="inlineStr">
        <is>
          <t>Adaptador USB-C</t>
        </is>
      </c>
      <c r="C27" s="84" t="n">
        <v>16</v>
      </c>
      <c r="D27" s="61" t="n">
        <v>90</v>
      </c>
      <c r="E27" s="62" t="n">
        <v>35</v>
      </c>
      <c r="F27" s="85">
        <f>IFERROR(D27*E27,0)</f>
        <v/>
      </c>
      <c r="G27" s="86">
        <f>IFERROR(F27/SUM($F$10:$F$29),0)</f>
        <v/>
      </c>
      <c r="H27" s="86">
        <f>IFERROR(SUMIF($F$10:$F$29,"&gt;="&amp;F27,$F$10:$F$29)/SUM($F$10:$F$29),0)</f>
        <v/>
      </c>
      <c r="R27" s="70">
        <f>RANK.EQ(F27,$F$10:$F$29,0)+COUNTIF($F$10:F27,F27)-1</f>
        <v/>
      </c>
      <c r="S27" s="70">
        <f>INDEX($A$10:$A$29,MATCH(ROWS($S$10:S27),$R$10:$R$29,0))</f>
        <v/>
      </c>
      <c r="T27" s="71">
        <f>INDEX($B$10:$B$29,MATCH(ROWS($T$10:T27),$R$10:$R$29,0))&amp;" ("&amp;S27&amp;")"</f>
        <v/>
      </c>
      <c r="U27" s="72">
        <f>INDEX($F$10:$F$29,MATCH(ROWS($U$10:U27),$R$10:$R$29,0))</f>
        <v/>
      </c>
      <c r="V27" s="73">
        <f>INDEX($H$10:$H$29,MATCH(ROWS($V$10:V27),$R$10:$R$29,0))</f>
        <v/>
      </c>
      <c r="W27" s="74">
        <f>IF($S27="A",$U27,NA())</f>
        <v/>
      </c>
      <c r="X27" s="75">
        <f>IF($S27="B",$U27,NA())</f>
        <v/>
      </c>
      <c r="Y27" s="76">
        <f>IF($S27="C",$U27,NA())</f>
        <v/>
      </c>
    </row>
    <row r="28" ht="19" customHeight="1">
      <c r="A28" s="68">
        <f>IF($H28&lt;=$E$5,"A",IF($H28&lt;=$G$5,"B","C"))</f>
        <v/>
      </c>
      <c r="B28" s="83" t="inlineStr">
        <is>
          <t>Mouse Optico Simples</t>
        </is>
      </c>
      <c r="C28" s="84" t="n">
        <v>3</v>
      </c>
      <c r="D28" s="61" t="n">
        <v>120</v>
      </c>
      <c r="E28" s="62" t="n">
        <v>15</v>
      </c>
      <c r="F28" s="85">
        <f>IFERROR(D28*E28,0)</f>
        <v/>
      </c>
      <c r="G28" s="86">
        <f>IFERROR(F28/SUM($F$10:$F$29),0)</f>
        <v/>
      </c>
      <c r="H28" s="86">
        <f>IFERROR(SUMIF($F$10:$F$29,"&gt;="&amp;F28,$F$10:$F$29)/SUM($F$10:$F$29),0)</f>
        <v/>
      </c>
      <c r="R28" s="70">
        <f>RANK.EQ(F28,$F$10:$F$29,0)+COUNTIF($F$10:F28,F28)-1</f>
        <v/>
      </c>
      <c r="S28" s="70">
        <f>INDEX($A$10:$A$29,MATCH(ROWS($S$10:S28),$R$10:$R$29,0))</f>
        <v/>
      </c>
      <c r="T28" s="71">
        <f>INDEX($B$10:$B$29,MATCH(ROWS($T$10:T28),$R$10:$R$29,0))&amp;" ("&amp;S28&amp;")"</f>
        <v/>
      </c>
      <c r="U28" s="72">
        <f>INDEX($F$10:$F$29,MATCH(ROWS($U$10:U28),$R$10:$R$29,0))</f>
        <v/>
      </c>
      <c r="V28" s="73">
        <f>INDEX($H$10:$H$29,MATCH(ROWS($V$10:V28),$R$10:$R$29,0))</f>
        <v/>
      </c>
      <c r="W28" s="74">
        <f>IF($S28="A",$U28,NA())</f>
        <v/>
      </c>
      <c r="X28" s="75">
        <f>IF($S28="B",$U28,NA())</f>
        <v/>
      </c>
      <c r="Y28" s="76">
        <f>IF($S28="C",$U28,NA())</f>
        <v/>
      </c>
    </row>
    <row r="29" ht="19" customHeight="1">
      <c r="A29" s="68">
        <f>IF($H29&lt;=$E$5,"A",IF($H29&lt;=$G$5,"B","C"))</f>
        <v/>
      </c>
      <c r="B29" s="83" t="inlineStr">
        <is>
          <t>Patch Cord RJ45 1m</t>
        </is>
      </c>
      <c r="C29" s="84" t="n">
        <v>8</v>
      </c>
      <c r="D29" s="61" t="n">
        <v>200</v>
      </c>
      <c r="E29" s="62" t="n">
        <v>12</v>
      </c>
      <c r="F29" s="85">
        <f>IFERROR(D29*E29,0)</f>
        <v/>
      </c>
      <c r="G29" s="86">
        <f>IFERROR(F29/SUM($F$10:$F$29),0)</f>
        <v/>
      </c>
      <c r="H29" s="86">
        <f>IFERROR(SUMIF($F$10:$F$29,"&gt;="&amp;F29,$F$10:$F$29)/SUM($F$10:$F$29),0)</f>
        <v/>
      </c>
      <c r="R29" s="70">
        <f>RANK.EQ(F29,$F$10:$F$29,0)+COUNTIF($F$10:F29,F29)-1</f>
        <v/>
      </c>
      <c r="S29" s="70">
        <f>INDEX($A$10:$A$29,MATCH(ROWS($S$10:S29),$R$10:$R$29,0))</f>
        <v/>
      </c>
      <c r="T29" s="71">
        <f>INDEX($B$10:$B$29,MATCH(ROWS($T$10:T29),$R$10:$R$29,0))&amp;" ("&amp;S29&amp;")"</f>
        <v/>
      </c>
      <c r="U29" s="72">
        <f>INDEX($F$10:$F$29,MATCH(ROWS($U$10:U29),$R$10:$R$29,0))</f>
        <v/>
      </c>
      <c r="V29" s="73">
        <f>INDEX($H$10:$H$29,MATCH(ROWS($V$10:V29),$R$10:$R$29,0))</f>
        <v/>
      </c>
      <c r="W29" s="74">
        <f>IF($S29="A",$U29,NA())</f>
        <v/>
      </c>
      <c r="X29" s="75">
        <f>IF($S29="B",$U29,NA())</f>
        <v/>
      </c>
      <c r="Y29" s="76">
        <f>IF($S29="C",$U29,NA())</f>
        <v/>
      </c>
    </row>
    <row r="30" ht="22" customHeight="1">
      <c r="A30" s="87" t="inlineStr">
        <is>
          <t>TOTAL GERAL</t>
        </is>
      </c>
      <c r="B30" s="88" t="n"/>
      <c r="C30" s="88" t="n"/>
      <c r="D30" s="89">
        <f>SUM(D10:D29)</f>
        <v/>
      </c>
      <c r="E30" s="90" t="n"/>
      <c r="F30" s="91">
        <f>SUM(F10:F29)</f>
        <v/>
      </c>
      <c r="G30" s="92" t="n">
        <v>1</v>
      </c>
      <c r="H30" s="92" t="n">
        <v>1</v>
      </c>
    </row>
    <row r="61" ht="18" customHeight="1">
      <c r="A61" s="14" t="inlineStr">
        <is>
          <t xml:space="preserve">  CURVA ABC REGGAE  |  CURVA ABC REGGAE  —  ABA 01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6">
    <mergeCell ref="G2:H2"/>
    <mergeCell ref="C5:D5"/>
    <mergeCell ref="E5:F5"/>
    <mergeCell ref="J1:N1"/>
    <mergeCell ref="G61:H61"/>
    <mergeCell ref="A1:H1"/>
    <mergeCell ref="A61:B61"/>
    <mergeCell ref="A61:H61"/>
    <mergeCell ref="A6:H6"/>
    <mergeCell ref="C4:D4"/>
    <mergeCell ref="E4:F4"/>
    <mergeCell ref="A3:B3"/>
    <mergeCell ref="G3:H3"/>
    <mergeCell ref="A2:B2"/>
    <mergeCell ref="C2:D2"/>
    <mergeCell ref="J11:N11"/>
    <mergeCell ref="E2:F2"/>
    <mergeCell ref="A5:B5"/>
    <mergeCell ref="G5:H5"/>
    <mergeCell ref="C61:D61"/>
    <mergeCell ref="A30:C30"/>
    <mergeCell ref="E61:F61"/>
    <mergeCell ref="A4:B4"/>
    <mergeCell ref="G4:H4"/>
    <mergeCell ref="C3:D3"/>
    <mergeCell ref="E3:F3"/>
  </mergeCells>
  <conditionalFormatting sqref="A10:H2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990000"/>
    <outlinePr summaryBelow="1" summaryRight="1"/>
    <pageSetUpPr/>
  </sheetPr>
  <dimension ref="A1:Y7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0" customWidth="1" min="3" max="3"/>
    <col width="10" customWidth="1" min="4" max="4"/>
    <col width="14" customWidth="1" min="5" max="5"/>
    <col width="16" customWidth="1" min="6" max="6"/>
    <col width="13" customWidth="1" min="7" max="7"/>
    <col width="13" customWidth="1" min="8" max="8"/>
    <col width="2" customWidth="1" min="9" max="9"/>
    <col width="10" customWidth="1" min="10" max="10"/>
    <col width="16" customWidth="1" min="11" max="11"/>
    <col width="10" customWidth="1" min="12" max="12"/>
    <col width="10" customWidth="1" min="13" max="13"/>
    <col width="22" customWidth="1" min="14" max="14"/>
    <col width="2" customWidth="1" min="15" max="15"/>
    <col width="2" customWidth="1" min="16" max="16"/>
    <col width="2" customWidth="1" min="17" max="17"/>
    <col width="8" customWidth="1" min="18" max="18"/>
    <col width="6" customWidth="1" min="19" max="19"/>
    <col width="38" customWidth="1" min="20" max="20"/>
    <col width="16" customWidth="1" min="21" max="21"/>
    <col width="13" customWidth="1" min="22" max="22"/>
    <col width="16" customWidth="1" min="23" max="23"/>
    <col width="16" customWidth="1" min="24" max="24"/>
    <col width="16" customWidth="1" min="25" max="25"/>
  </cols>
  <sheetData>
    <row r="1" ht="50" customHeight="1">
      <c r="A1" s="15" t="inlineStr">
        <is>
          <t>CURVA ABC REGGAE  —  ABA 02</t>
        </is>
      </c>
      <c r="I1" s="4" t="n"/>
      <c r="J1" s="16" t="inlineStr">
        <is>
          <t>A = ate 80%   |   B = 80-95%   |   C = 95-100%</t>
        </is>
      </c>
    </row>
    <row r="2" ht="22" customHeight="1">
      <c r="A2" s="17" t="inlineStr">
        <is>
          <t>V.T. TOTAL</t>
        </is>
      </c>
      <c r="B2" s="18" t="n"/>
      <c r="C2" s="19" t="inlineStr">
        <is>
          <t>V.T. CLASSE A</t>
        </is>
      </c>
      <c r="D2" s="18" t="n"/>
      <c r="E2" s="20" t="inlineStr">
        <is>
          <t>% ITENS A</t>
        </is>
      </c>
      <c r="F2" s="18" t="n"/>
      <c r="G2" s="21" t="inlineStr">
        <is>
          <t>MAIOR V.T.</t>
        </is>
      </c>
      <c r="H2" s="22" t="n"/>
      <c r="J2" s="1" t="n"/>
      <c r="K2" s="1" t="n"/>
      <c r="L2" s="1" t="n"/>
      <c r="M2" s="1" t="n"/>
      <c r="N2" s="1" t="n"/>
    </row>
    <row r="3" ht="32" customHeight="1">
      <c r="A3" s="23">
        <f>SUM($F$10:$F$39)</f>
        <v/>
      </c>
      <c r="B3" s="24" t="n"/>
      <c r="C3" s="25">
        <f>SUMIF($A$10:$A$39,"A",$F$10:$F$39)</f>
        <v/>
      </c>
      <c r="D3" s="24" t="n"/>
      <c r="E3" s="26">
        <f>IFERROR(COUNTIF($A$10:$A$39,"A")/COUNTA($B$10:$B$39),0)</f>
        <v/>
      </c>
      <c r="F3" s="24" t="n"/>
      <c r="G3" s="27">
        <f>MAX($F$10:$F$39)</f>
        <v/>
      </c>
      <c r="H3" s="28" t="n"/>
      <c r="J3" s="1" t="n"/>
      <c r="K3" s="1" t="n"/>
      <c r="L3" s="1" t="n"/>
      <c r="M3" s="1" t="n"/>
      <c r="N3" s="1" t="n"/>
    </row>
    <row r="4" ht="22" customHeight="1">
      <c r="A4" s="29" t="inlineStr">
        <is>
          <t>MENOR V.T.</t>
        </is>
      </c>
      <c r="B4" s="24" t="n"/>
      <c r="C4" s="30" t="inlineStr">
        <is>
          <t>STATUS</t>
        </is>
      </c>
      <c r="D4" s="24" t="n"/>
      <c r="E4" s="31" t="inlineStr">
        <is>
          <t>LIMITE A</t>
        </is>
      </c>
      <c r="F4" s="24" t="n"/>
      <c r="G4" s="32" t="inlineStr">
        <is>
          <t>LIMITE B</t>
        </is>
      </c>
      <c r="H4" s="28" t="n"/>
      <c r="J4" s="1" t="n"/>
      <c r="K4" s="1" t="n"/>
      <c r="L4" s="1" t="n"/>
      <c r="M4" s="1" t="n"/>
      <c r="N4" s="1" t="n"/>
    </row>
    <row r="5" ht="32" customHeight="1">
      <c r="A5" s="33">
        <f>MIN($F$10:$F$39)</f>
        <v/>
      </c>
      <c r="B5" s="34" t="n"/>
      <c r="C5" s="35">
        <f>IF(IFERROR(MAX($H$10:$H$39),0)&gt;1.0001,"VERIFICAR","CONSISTENTE")</f>
        <v/>
      </c>
      <c r="D5" s="34" t="n"/>
      <c r="E5" s="36" t="n">
        <v>0.8</v>
      </c>
      <c r="F5" s="34" t="n"/>
      <c r="G5" s="37" t="n">
        <v>0.95</v>
      </c>
      <c r="H5" s="38" t="n"/>
      <c r="J5" s="1" t="n"/>
      <c r="K5" s="1" t="n"/>
      <c r="L5" s="1" t="n"/>
      <c r="M5" s="1" t="n"/>
      <c r="N5" s="1" t="n"/>
    </row>
    <row r="6" ht="18" customHeight="1">
      <c r="A6" s="39" t="inlineStr">
        <is>
          <t xml:space="preserve">  Analise Avancada | 30 SKUs | Pareto Automatico | Dashboard Executivo  |  Edite somente Quant. e Custo Unit. — formulas, ABC e graficos atualizam automaticamente.</t>
        </is>
      </c>
    </row>
    <row r="7" ht="18" customHeight="1">
      <c r="J7" s="40" t="inlineStr">
        <is>
          <t>Classe</t>
        </is>
      </c>
      <c r="K7" s="40" t="inlineStr">
        <is>
          <t>Total V.T.</t>
        </is>
      </c>
      <c r="L7" s="40" t="inlineStr">
        <is>
          <t>% Total</t>
        </is>
      </c>
      <c r="M7" s="40" t="inlineStr">
        <is>
          <t>Qtd. Itens</t>
        </is>
      </c>
      <c r="N7" s="40" t="inlineStr">
        <is>
          <t>Barra Rapida</t>
        </is>
      </c>
    </row>
    <row r="8" ht="26" customHeight="1">
      <c r="A8" s="41" t="inlineStr">
        <is>
          <t>ABC</t>
        </is>
      </c>
      <c r="B8" s="42" t="inlineStr">
        <is>
          <t>Descricao do Item</t>
        </is>
      </c>
      <c r="C8" s="43" t="inlineStr">
        <is>
          <t>Cod./ID</t>
        </is>
      </c>
      <c r="D8" s="44" t="inlineStr">
        <is>
          <t>Quant.</t>
        </is>
      </c>
      <c r="E8" s="44" t="inlineStr">
        <is>
          <t>Custo Unit. (R$)</t>
        </is>
      </c>
      <c r="F8" s="41" t="inlineStr">
        <is>
          <t>V.T. (R$)</t>
        </is>
      </c>
      <c r="G8" s="43" t="inlineStr">
        <is>
          <t>% Individual</t>
        </is>
      </c>
      <c r="H8" s="43" t="inlineStr">
        <is>
          <t>% Acumulado</t>
        </is>
      </c>
      <c r="J8" s="45" t="inlineStr">
        <is>
          <t>A</t>
        </is>
      </c>
      <c r="K8" s="46">
        <f>SUMIF($A$10:$A$39,"A",$F$10:$F$39)</f>
        <v/>
      </c>
      <c r="L8" s="47">
        <f>IFERROR(K8/SUM($F$10:$F$39),0)</f>
        <v/>
      </c>
      <c r="M8" s="48">
        <f>COUNTIF($A$10:$A$39,"A")</f>
        <v/>
      </c>
      <c r="N8" s="49">
        <f>REPT("█",ROUND(L8*20,0))</f>
        <v/>
      </c>
      <c r="R8" s="50" t="inlineStr">
        <is>
          <t>Rank</t>
        </is>
      </c>
      <c r="S8" s="50" t="inlineStr">
        <is>
          <t>ABC Ord.</t>
        </is>
      </c>
      <c r="T8" s="50" t="inlineStr">
        <is>
          <t>Rotulo</t>
        </is>
      </c>
      <c r="U8" s="50" t="inlineStr">
        <is>
          <t>V.T. Ord.</t>
        </is>
      </c>
      <c r="V8" s="50" t="inlineStr">
        <is>
          <t>% Acum. Ord.</t>
        </is>
      </c>
      <c r="W8" s="51" t="inlineStr">
        <is>
          <t>V.T. A</t>
        </is>
      </c>
      <c r="X8" s="52" t="inlineStr">
        <is>
          <t>V.T. B</t>
        </is>
      </c>
      <c r="Y8" s="53" t="inlineStr">
        <is>
          <t>V.T. C</t>
        </is>
      </c>
    </row>
    <row r="9" ht="6" customHeight="1">
      <c r="J9" s="54" t="inlineStr">
        <is>
          <t>B</t>
        </is>
      </c>
      <c r="K9" s="55">
        <f>SUMIF($A$10:$A$39,"B",$F$10:$F$39)</f>
        <v/>
      </c>
      <c r="L9" s="56">
        <f>IFERROR(K9/SUM($F$10:$F$39),0)</f>
        <v/>
      </c>
      <c r="M9" s="57">
        <f>COUNTIF($A$10:$A$39,"B")</f>
        <v/>
      </c>
      <c r="N9" s="58">
        <f>REPT("█",ROUND(L9*20,0))</f>
        <v/>
      </c>
    </row>
    <row r="10" ht="19" customHeight="1">
      <c r="A10" s="48">
        <f>IF($H10&lt;=$E$5,"A",IF($H10&lt;=$G$5,"B","C"))</f>
        <v/>
      </c>
      <c r="B10" s="59" t="inlineStr">
        <is>
          <t>Servidor Rack Dell Pro</t>
        </is>
      </c>
      <c r="C10" s="60" t="n">
        <v>2</v>
      </c>
      <c r="D10" s="61" t="n">
        <v>15</v>
      </c>
      <c r="E10" s="62" t="n">
        <v>22500</v>
      </c>
      <c r="F10" s="63">
        <f>IFERROR(D10*E10,0)</f>
        <v/>
      </c>
      <c r="G10" s="64">
        <f>IFERROR(F10/SUM($F$10:$F$39),0)</f>
        <v/>
      </c>
      <c r="H10" s="64">
        <f>IFERROR(SUMIF($F$10:$F$39,"&gt;="&amp;F10,$F$10:$F$39)/SUM($F$10:$F$39),0)</f>
        <v/>
      </c>
      <c r="J10" s="65" t="inlineStr">
        <is>
          <t>C</t>
        </is>
      </c>
      <c r="K10" s="66">
        <f>SUMIF($A$10:$A$39,"C",$F$10:$F$39)</f>
        <v/>
      </c>
      <c r="L10" s="67">
        <f>IFERROR(K10/SUM($F$10:$F$39),0)</f>
        <v/>
      </c>
      <c r="M10" s="68">
        <f>COUNTIF($A$10:$A$39,"C")</f>
        <v/>
      </c>
      <c r="N10" s="69">
        <f>REPT("█",ROUND(L10*20,0))</f>
        <v/>
      </c>
      <c r="R10" s="70">
        <f>RANK.EQ(F10,$F$10:$F$39,0)+COUNTIF($F$10:F10,F10)-1</f>
        <v/>
      </c>
      <c r="S10" s="70">
        <f>INDEX($A$10:$A$39,MATCH(ROWS($S$10:S10),$R$10:$R$39,0))</f>
        <v/>
      </c>
      <c r="T10" s="71">
        <f>INDEX($B$10:$B$39,MATCH(ROWS($T$10:T10),$R$10:$R$39,0))&amp;" ("&amp;S10&amp;")"</f>
        <v/>
      </c>
      <c r="U10" s="72">
        <f>INDEX($F$10:$F$39,MATCH(ROWS($U$10:U10),$R$10:$R$39,0))</f>
        <v/>
      </c>
      <c r="V10" s="73">
        <f>INDEX($H$10:$H$39,MATCH(ROWS($V$10:V10),$R$10:$R$39,0))</f>
        <v/>
      </c>
      <c r="W10" s="74">
        <f>IF($S10="A",$U10,NA())</f>
        <v/>
      </c>
      <c r="X10" s="75">
        <f>IF($S10="B",$U10,NA())</f>
        <v/>
      </c>
      <c r="Y10" s="76">
        <f>IF($S10="C",$U10,NA())</f>
        <v/>
      </c>
    </row>
    <row r="11" ht="19" customHeight="1">
      <c r="A11" s="48">
        <f>IF($H11&lt;=$E$5,"A",IF($H11&lt;=$G$5,"B","C"))</f>
        <v/>
      </c>
      <c r="B11" s="59" t="inlineStr">
        <is>
          <t>Workstation Grafica</t>
        </is>
      </c>
      <c r="C11" s="60" t="n">
        <v>17</v>
      </c>
      <c r="D11" s="61" t="n">
        <v>19</v>
      </c>
      <c r="E11" s="62" t="n">
        <v>12000</v>
      </c>
      <c r="F11" s="63">
        <f>IFERROR(D11*E11,0)</f>
        <v/>
      </c>
      <c r="G11" s="64">
        <f>IFERROR(F11/SUM($F$10:$F$39),0)</f>
        <v/>
      </c>
      <c r="H11" s="64">
        <f>IFERROR(SUMIF($F$10:$F$39,"&gt;="&amp;F11,$F$10:$F$39)/SUM($F$10:$F$39),0)</f>
        <v/>
      </c>
      <c r="J11" s="77">
        <f>IF(IFERROR(MAX($H$10:$H$39),0)&gt;1.0001,"ALERTA: acumulado &gt; 100%","OK - CONSISTENTE")</f>
        <v/>
      </c>
      <c r="R11" s="70">
        <f>RANK.EQ(F11,$F$10:$F$39,0)+COUNTIF($F$10:F11,F11)-1</f>
        <v/>
      </c>
      <c r="S11" s="70">
        <f>INDEX($A$10:$A$39,MATCH(ROWS($S$10:S11),$R$10:$R$39,0))</f>
        <v/>
      </c>
      <c r="T11" s="71">
        <f>INDEX($B$10:$B$39,MATCH(ROWS($T$10:T11),$R$10:$R$39,0))&amp;" ("&amp;S11&amp;")"</f>
        <v/>
      </c>
      <c r="U11" s="72">
        <f>INDEX($F$10:$F$39,MATCH(ROWS($U$10:U11),$R$10:$R$39,0))</f>
        <v/>
      </c>
      <c r="V11" s="73">
        <f>INDEX($H$10:$H$39,MATCH(ROWS($V$10:V11),$R$10:$R$39,0))</f>
        <v/>
      </c>
      <c r="W11" s="74">
        <f>IF($S11="A",$U11,NA())</f>
        <v/>
      </c>
      <c r="X11" s="75">
        <f>IF($S11="B",$U11,NA())</f>
        <v/>
      </c>
      <c r="Y11" s="76">
        <f>IF($S11="C",$U11,NA())</f>
        <v/>
      </c>
    </row>
    <row r="12" ht="19" customHeight="1">
      <c r="A12" s="48">
        <f>IF($H12&lt;=$E$5,"A",IF($H12&lt;=$G$5,"B","C"))</f>
        <v/>
      </c>
      <c r="B12" s="59" t="inlineStr">
        <is>
          <t>Notebook i7 32GB RAM</t>
        </is>
      </c>
      <c r="C12" s="60" t="n">
        <v>10</v>
      </c>
      <c r="D12" s="61" t="n">
        <v>28</v>
      </c>
      <c r="E12" s="62" t="n">
        <v>7200</v>
      </c>
      <c r="F12" s="63">
        <f>IFERROR(D12*E12,0)</f>
        <v/>
      </c>
      <c r="G12" s="64">
        <f>IFERROR(F12/SUM($F$10:$F$39),0)</f>
        <v/>
      </c>
      <c r="H12" s="64">
        <f>IFERROR(SUMIF($F$10:$F$39,"&gt;="&amp;F12,$F$10:$F$39)/SUM($F$10:$F$39),0)</f>
        <v/>
      </c>
      <c r="R12" s="70">
        <f>RANK.EQ(F12,$F$10:$F$39,0)+COUNTIF($F$10:F12,F12)-1</f>
        <v/>
      </c>
      <c r="S12" s="70">
        <f>INDEX($A$10:$A$39,MATCH(ROWS($S$10:S12),$R$10:$R$39,0))</f>
        <v/>
      </c>
      <c r="T12" s="71">
        <f>INDEX($B$10:$B$39,MATCH(ROWS($T$10:T12),$R$10:$R$39,0))&amp;" ("&amp;S12&amp;")"</f>
        <v/>
      </c>
      <c r="U12" s="72">
        <f>INDEX($F$10:$F$39,MATCH(ROWS($U$10:U12),$R$10:$R$39,0))</f>
        <v/>
      </c>
      <c r="V12" s="73">
        <f>INDEX($H$10:$H$39,MATCH(ROWS($V$10:V12),$R$10:$R$39,0))</f>
        <v/>
      </c>
      <c r="W12" s="74">
        <f>IF($S12="A",$U12,NA())</f>
        <v/>
      </c>
      <c r="X12" s="75">
        <f>IF($S12="B",$U12,NA())</f>
        <v/>
      </c>
      <c r="Y12" s="76">
        <f>IF($S12="C",$U12,NA())</f>
        <v/>
      </c>
    </row>
    <row r="13" ht="19" customHeight="1">
      <c r="A13" s="48">
        <f>IF($H13&lt;=$E$5,"A",IF($H13&lt;=$G$5,"B","C"))</f>
        <v/>
      </c>
      <c r="B13" s="59" t="inlineStr">
        <is>
          <t>Switch Gerenciavel 48p</t>
        </is>
      </c>
      <c r="C13" s="60" t="n">
        <v>8</v>
      </c>
      <c r="D13" s="61" t="n">
        <v>10</v>
      </c>
      <c r="E13" s="62" t="n">
        <v>4800</v>
      </c>
      <c r="F13" s="63">
        <f>IFERROR(D13*E13,0)</f>
        <v/>
      </c>
      <c r="G13" s="64">
        <f>IFERROR(F13/SUM($F$10:$F$39),0)</f>
        <v/>
      </c>
      <c r="H13" s="64">
        <f>IFERROR(SUMIF($F$10:$F$39,"&gt;="&amp;F13,$F$10:$F$39)/SUM($F$10:$F$39),0)</f>
        <v/>
      </c>
      <c r="R13" s="70">
        <f>RANK.EQ(F13,$F$10:$F$39,0)+COUNTIF($F$10:F13,F13)-1</f>
        <v/>
      </c>
      <c r="S13" s="70">
        <f>INDEX($A$10:$A$39,MATCH(ROWS($S$10:S13),$R$10:$R$39,0))</f>
        <v/>
      </c>
      <c r="T13" s="71">
        <f>INDEX($B$10:$B$39,MATCH(ROWS($T$10:T13),$R$10:$R$39,0))&amp;" ("&amp;S13&amp;")"</f>
        <v/>
      </c>
      <c r="U13" s="72">
        <f>INDEX($F$10:$F$39,MATCH(ROWS($U$10:U13),$R$10:$R$39,0))</f>
        <v/>
      </c>
      <c r="V13" s="73">
        <f>INDEX($H$10:$H$39,MATCH(ROWS($V$10:V13),$R$10:$R$39,0))</f>
        <v/>
      </c>
      <c r="W13" s="74">
        <f>IF($S13="A",$U13,NA())</f>
        <v/>
      </c>
      <c r="X13" s="75">
        <f>IF($S13="B",$U13,NA())</f>
        <v/>
      </c>
      <c r="Y13" s="76">
        <f>IF($S13="C",$U13,NA())</f>
        <v/>
      </c>
    </row>
    <row r="14" ht="19" customHeight="1">
      <c r="A14" s="78">
        <f>IF($H14&lt;=$E$5,"A",IF($H14&lt;=$G$5,"B","C"))</f>
        <v/>
      </c>
      <c r="B14" s="79" t="inlineStr">
        <is>
          <t>Placa de Video RTX</t>
        </is>
      </c>
      <c r="C14" s="80" t="n">
        <v>22</v>
      </c>
      <c r="D14" s="61" t="n">
        <v>8</v>
      </c>
      <c r="E14" s="62" t="n">
        <v>5500</v>
      </c>
      <c r="F14" s="81">
        <f>IFERROR(D14*E14,0)</f>
        <v/>
      </c>
      <c r="G14" s="82">
        <f>IFERROR(F14/SUM($F$10:$F$39),0)</f>
        <v/>
      </c>
      <c r="H14" s="82">
        <f>IFERROR(SUMIF($F$10:$F$39,"&gt;="&amp;F14,$F$10:$F$39)/SUM($F$10:$F$39),0)</f>
        <v/>
      </c>
      <c r="R14" s="70">
        <f>RANK.EQ(F14,$F$10:$F$39,0)+COUNTIF($F$10:F14,F14)-1</f>
        <v/>
      </c>
      <c r="S14" s="70">
        <f>INDEX($A$10:$A$39,MATCH(ROWS($S$10:S14),$R$10:$R$39,0))</f>
        <v/>
      </c>
      <c r="T14" s="71">
        <f>INDEX($B$10:$B$39,MATCH(ROWS($T$10:T14),$R$10:$R$39,0))&amp;" ("&amp;S14&amp;")"</f>
        <v/>
      </c>
      <c r="U14" s="72">
        <f>INDEX($F$10:$F$39,MATCH(ROWS($U$10:U14),$R$10:$R$39,0))</f>
        <v/>
      </c>
      <c r="V14" s="73">
        <f>INDEX($H$10:$H$39,MATCH(ROWS($V$10:V14),$R$10:$R$39,0))</f>
        <v/>
      </c>
      <c r="W14" s="74">
        <f>IF($S14="A",$U14,NA())</f>
        <v/>
      </c>
      <c r="X14" s="75">
        <f>IF($S14="B",$U14,NA())</f>
        <v/>
      </c>
      <c r="Y14" s="76">
        <f>IF($S14="C",$U14,NA())</f>
        <v/>
      </c>
    </row>
    <row r="15" ht="19" customHeight="1">
      <c r="A15" s="78">
        <f>IF($H15&lt;=$E$5,"A",IF($H15&lt;=$G$5,"B","C"))</f>
        <v/>
      </c>
      <c r="B15" s="79" t="inlineStr">
        <is>
          <t>Storage NAS 40TB</t>
        </is>
      </c>
      <c r="C15" s="80" t="n">
        <v>21</v>
      </c>
      <c r="D15" s="61" t="n">
        <v>2</v>
      </c>
      <c r="E15" s="62" t="n">
        <v>18500</v>
      </c>
      <c r="F15" s="81">
        <f>IFERROR(D15*E15,0)</f>
        <v/>
      </c>
      <c r="G15" s="82">
        <f>IFERROR(F15/SUM($F$10:$F$39),0)</f>
        <v/>
      </c>
      <c r="H15" s="82">
        <f>IFERROR(SUMIF($F$10:$F$39,"&gt;="&amp;F15,$F$10:$F$39)/SUM($F$10:$F$39),0)</f>
        <v/>
      </c>
      <c r="R15" s="70">
        <f>RANK.EQ(F15,$F$10:$F$39,0)+COUNTIF($F$10:F15,F15)-1</f>
        <v/>
      </c>
      <c r="S15" s="70">
        <f>INDEX($A$10:$A$39,MATCH(ROWS($S$10:S15),$R$10:$R$39,0))</f>
        <v/>
      </c>
      <c r="T15" s="71">
        <f>INDEX($B$10:$B$39,MATCH(ROWS($T$10:T15),$R$10:$R$39,0))&amp;" ("&amp;S15&amp;")"</f>
        <v/>
      </c>
      <c r="U15" s="72">
        <f>INDEX($F$10:$F$39,MATCH(ROWS($U$10:U15),$R$10:$R$39,0))</f>
        <v/>
      </c>
      <c r="V15" s="73">
        <f>INDEX($H$10:$H$39,MATCH(ROWS($V$10:V15),$R$10:$R$39,0))</f>
        <v/>
      </c>
      <c r="W15" s="74">
        <f>IF($S15="A",$U15,NA())</f>
        <v/>
      </c>
      <c r="X15" s="75">
        <f>IF($S15="B",$U15,NA())</f>
        <v/>
      </c>
      <c r="Y15" s="76">
        <f>IF($S15="C",$U15,NA())</f>
        <v/>
      </c>
    </row>
    <row r="16" ht="19" customHeight="1">
      <c r="A16" s="78">
        <f>IF($H16&lt;=$E$5,"A",IF($H16&lt;=$G$5,"B","C"))</f>
        <v/>
      </c>
      <c r="B16" s="79" t="inlineStr">
        <is>
          <t>Memoria RAM 16GB</t>
        </is>
      </c>
      <c r="C16" s="80" t="n">
        <v>19</v>
      </c>
      <c r="D16" s="61" t="n">
        <v>45</v>
      </c>
      <c r="E16" s="62" t="n">
        <v>380</v>
      </c>
      <c r="F16" s="81">
        <f>IFERROR(D16*E16,0)</f>
        <v/>
      </c>
      <c r="G16" s="82">
        <f>IFERROR(F16/SUM($F$10:$F$39),0)</f>
        <v/>
      </c>
      <c r="H16" s="82">
        <f>IFERROR(SUMIF($F$10:$F$39,"&gt;="&amp;F16,$F$10:$F$39)/SUM($F$10:$F$39),0)</f>
        <v/>
      </c>
      <c r="R16" s="70">
        <f>RANK.EQ(F16,$F$10:$F$39,0)+COUNTIF($F$10:F16,F16)-1</f>
        <v/>
      </c>
      <c r="S16" s="70">
        <f>INDEX($A$10:$A$39,MATCH(ROWS($S$10:S16),$R$10:$R$39,0))</f>
        <v/>
      </c>
      <c r="T16" s="71">
        <f>INDEX($B$10:$B$39,MATCH(ROWS($T$10:T16),$R$10:$R$39,0))&amp;" ("&amp;S16&amp;")"</f>
        <v/>
      </c>
      <c r="U16" s="72">
        <f>INDEX($F$10:$F$39,MATCH(ROWS($U$10:U16),$R$10:$R$39,0))</f>
        <v/>
      </c>
      <c r="V16" s="73">
        <f>INDEX($H$10:$H$39,MATCH(ROWS($V$10:V16),$R$10:$R$39,0))</f>
        <v/>
      </c>
      <c r="W16" s="74">
        <f>IF($S16="A",$U16,NA())</f>
        <v/>
      </c>
      <c r="X16" s="75">
        <f>IF($S16="B",$U16,NA())</f>
        <v/>
      </c>
      <c r="Y16" s="76">
        <f>IF($S16="C",$U16,NA())</f>
        <v/>
      </c>
    </row>
    <row r="17" ht="19" customHeight="1">
      <c r="A17" s="78">
        <f>IF($H17&lt;=$E$5,"A",IF($H17&lt;=$G$5,"B","C"))</f>
        <v/>
      </c>
      <c r="B17" s="79" t="inlineStr">
        <is>
          <t>Toner Impressora Laser</t>
        </is>
      </c>
      <c r="C17" s="80" t="n">
        <v>12</v>
      </c>
      <c r="D17" s="61" t="n">
        <v>40</v>
      </c>
      <c r="E17" s="62" t="n">
        <v>320</v>
      </c>
      <c r="F17" s="81">
        <f>IFERROR(D17*E17,0)</f>
        <v/>
      </c>
      <c r="G17" s="82">
        <f>IFERROR(F17/SUM($F$10:$F$39),0)</f>
        <v/>
      </c>
      <c r="H17" s="82">
        <f>IFERROR(SUMIF($F$10:$F$39,"&gt;="&amp;F17,$F$10:$F$39)/SUM($F$10:$F$39),0)</f>
        <v/>
      </c>
      <c r="R17" s="70">
        <f>RANK.EQ(F17,$F$10:$F$39,0)+COUNTIF($F$10:F17,F17)-1</f>
        <v/>
      </c>
      <c r="S17" s="70">
        <f>INDEX($A$10:$A$39,MATCH(ROWS($S$10:S17),$R$10:$R$39,0))</f>
        <v/>
      </c>
      <c r="T17" s="71">
        <f>INDEX($B$10:$B$39,MATCH(ROWS($T$10:T17),$R$10:$R$39,0))&amp;" ("&amp;S17&amp;")"</f>
        <v/>
      </c>
      <c r="U17" s="72">
        <f>INDEX($F$10:$F$39,MATCH(ROWS($U$10:U17),$R$10:$R$39,0))</f>
        <v/>
      </c>
      <c r="V17" s="73">
        <f>INDEX($H$10:$H$39,MATCH(ROWS($V$10:V17),$R$10:$R$39,0))</f>
        <v/>
      </c>
      <c r="W17" s="74">
        <f>IF($S17="A",$U17,NA())</f>
        <v/>
      </c>
      <c r="X17" s="75">
        <f>IF($S17="B",$U17,NA())</f>
        <v/>
      </c>
      <c r="Y17" s="76">
        <f>IF($S17="C",$U17,NA())</f>
        <v/>
      </c>
    </row>
    <row r="18" ht="19" customHeight="1">
      <c r="A18" s="78">
        <f>IF($H18&lt;=$E$5,"A",IF($H18&lt;=$G$5,"B","C"))</f>
        <v/>
      </c>
      <c r="B18" s="79" t="inlineStr">
        <is>
          <t>Monitor LED 24"</t>
        </is>
      </c>
      <c r="C18" s="80" t="n">
        <v>4</v>
      </c>
      <c r="D18" s="61" t="n">
        <v>15</v>
      </c>
      <c r="E18" s="62" t="n">
        <v>850</v>
      </c>
      <c r="F18" s="81">
        <f>IFERROR(D18*E18,0)</f>
        <v/>
      </c>
      <c r="G18" s="82">
        <f>IFERROR(F18/SUM($F$10:$F$39),0)</f>
        <v/>
      </c>
      <c r="H18" s="82">
        <f>IFERROR(SUMIF($F$10:$F$39,"&gt;="&amp;F18,$F$10:$F$39)/SUM($F$10:$F$39),0)</f>
        <v/>
      </c>
      <c r="R18" s="70">
        <f>RANK.EQ(F18,$F$10:$F$39,0)+COUNTIF($F$10:F18,F18)-1</f>
        <v/>
      </c>
      <c r="S18" s="70">
        <f>INDEX($A$10:$A$39,MATCH(ROWS($S$10:S18),$R$10:$R$39,0))</f>
        <v/>
      </c>
      <c r="T18" s="71">
        <f>INDEX($B$10:$B$39,MATCH(ROWS($T$10:T18),$R$10:$R$39,0))&amp;" ("&amp;S18&amp;")"</f>
        <v/>
      </c>
      <c r="U18" s="72">
        <f>INDEX($F$10:$F$39,MATCH(ROWS($U$10:U18),$R$10:$R$39,0))</f>
        <v/>
      </c>
      <c r="V18" s="73">
        <f>INDEX($H$10:$H$39,MATCH(ROWS($V$10:V18),$R$10:$R$39,0))</f>
        <v/>
      </c>
      <c r="W18" s="74">
        <f>IF($S18="A",$U18,NA())</f>
        <v/>
      </c>
      <c r="X18" s="75">
        <f>IF($S18="B",$U18,NA())</f>
        <v/>
      </c>
      <c r="Y18" s="76">
        <f>IF($S18="C",$U18,NA())</f>
        <v/>
      </c>
    </row>
    <row r="19" ht="19" customHeight="1">
      <c r="A19" s="78">
        <f>IF($H19&lt;=$E$5,"A",IF($H19&lt;=$G$5,"B","C"))</f>
        <v/>
      </c>
      <c r="B19" s="79" t="inlineStr">
        <is>
          <t>Roteador Wi-Fi 6</t>
        </is>
      </c>
      <c r="C19" s="80" t="n">
        <v>11</v>
      </c>
      <c r="D19" s="61" t="n">
        <v>25</v>
      </c>
      <c r="E19" s="62" t="n">
        <v>450</v>
      </c>
      <c r="F19" s="81">
        <f>IFERROR(D19*E19,0)</f>
        <v/>
      </c>
      <c r="G19" s="82">
        <f>IFERROR(F19/SUM($F$10:$F$39),0)</f>
        <v/>
      </c>
      <c r="H19" s="82">
        <f>IFERROR(SUMIF($F$10:$F$39,"&gt;="&amp;F19,$F$10:$F$39)/SUM($F$10:$F$39),0)</f>
        <v/>
      </c>
      <c r="R19" s="70">
        <f>RANK.EQ(F19,$F$10:$F$39,0)+COUNTIF($F$10:F19,F19)-1</f>
        <v/>
      </c>
      <c r="S19" s="70">
        <f>INDEX($A$10:$A$39,MATCH(ROWS($S$10:S19),$R$10:$R$39,0))</f>
        <v/>
      </c>
      <c r="T19" s="71">
        <f>INDEX($B$10:$B$39,MATCH(ROWS($T$10:T19),$R$10:$R$39,0))&amp;" ("&amp;S19&amp;")"</f>
        <v/>
      </c>
      <c r="U19" s="72">
        <f>INDEX($F$10:$F$39,MATCH(ROWS($U$10:U19),$R$10:$R$39,0))</f>
        <v/>
      </c>
      <c r="V19" s="73">
        <f>INDEX($H$10:$H$39,MATCH(ROWS($V$10:V19),$R$10:$R$39,0))</f>
        <v/>
      </c>
      <c r="W19" s="74">
        <f>IF($S19="A",$U19,NA())</f>
        <v/>
      </c>
      <c r="X19" s="75">
        <f>IF($S19="B",$U19,NA())</f>
        <v/>
      </c>
      <c r="Y19" s="76">
        <f>IF($S19="C",$U19,NA())</f>
        <v/>
      </c>
    </row>
    <row r="20" ht="19" customHeight="1">
      <c r="A20" s="78">
        <f>IF($H20&lt;=$E$5,"A",IF($H20&lt;=$G$5,"B","C"))</f>
        <v/>
      </c>
      <c r="B20" s="79" t="inlineStr">
        <is>
          <t>SSD 480GB Sata</t>
        </is>
      </c>
      <c r="C20" s="80" t="n">
        <v>15</v>
      </c>
      <c r="D20" s="61" t="n">
        <v>55</v>
      </c>
      <c r="E20" s="62" t="n">
        <v>190</v>
      </c>
      <c r="F20" s="81">
        <f>IFERROR(D20*E20,0)</f>
        <v/>
      </c>
      <c r="G20" s="82">
        <f>IFERROR(F20/SUM($F$10:$F$39),0)</f>
        <v/>
      </c>
      <c r="H20" s="82">
        <f>IFERROR(SUMIF($F$10:$F$39,"&gt;="&amp;F20,$F$10:$F$39)/SUM($F$10:$F$39),0)</f>
        <v/>
      </c>
      <c r="R20" s="70">
        <f>RANK.EQ(F20,$F$10:$F$39,0)+COUNTIF($F$10:F20,F20)-1</f>
        <v/>
      </c>
      <c r="S20" s="70">
        <f>INDEX($A$10:$A$39,MATCH(ROWS($S$10:S20),$R$10:$R$39,0))</f>
        <v/>
      </c>
      <c r="T20" s="71">
        <f>INDEX($B$10:$B$39,MATCH(ROWS($T$10:T20),$R$10:$R$39,0))&amp;" ("&amp;S20&amp;")"</f>
        <v/>
      </c>
      <c r="U20" s="72">
        <f>INDEX($F$10:$F$39,MATCH(ROWS($U$10:U20),$R$10:$R$39,0))</f>
        <v/>
      </c>
      <c r="V20" s="73">
        <f>INDEX($H$10:$H$39,MATCH(ROWS($V$10:V20),$R$10:$R$39,0))</f>
        <v/>
      </c>
      <c r="W20" s="74">
        <f>IF($S20="A",$U20,NA())</f>
        <v/>
      </c>
      <c r="X20" s="75">
        <f>IF($S20="B",$U20,NA())</f>
        <v/>
      </c>
      <c r="Y20" s="76">
        <f>IF($S20="C",$U20,NA())</f>
        <v/>
      </c>
    </row>
    <row r="21" ht="19" customHeight="1">
      <c r="A21" s="78">
        <f>IF($H21&lt;=$E$5,"A",IF($H21&lt;=$G$5,"B","C"))</f>
        <v/>
      </c>
      <c r="B21" s="79" t="inlineStr">
        <is>
          <t>Nobreak 1500VA</t>
        </is>
      </c>
      <c r="C21" s="80" t="n">
        <v>6</v>
      </c>
      <c r="D21" s="61" t="n">
        <v>8</v>
      </c>
      <c r="E21" s="62" t="n">
        <v>1200</v>
      </c>
      <c r="F21" s="81">
        <f>IFERROR(D21*E21,0)</f>
        <v/>
      </c>
      <c r="G21" s="82">
        <f>IFERROR(F21/SUM($F$10:$F$39),0)</f>
        <v/>
      </c>
      <c r="H21" s="82">
        <f>IFERROR(SUMIF($F$10:$F$39,"&gt;="&amp;F21,$F$10:$F$39)/SUM($F$10:$F$39),0)</f>
        <v/>
      </c>
      <c r="R21" s="70">
        <f>RANK.EQ(F21,$F$10:$F$39,0)+COUNTIF($F$10:F21,F21)-1</f>
        <v/>
      </c>
      <c r="S21" s="70">
        <f>INDEX($A$10:$A$39,MATCH(ROWS($S$10:S21),$R$10:$R$39,0))</f>
        <v/>
      </c>
      <c r="T21" s="71">
        <f>INDEX($B$10:$B$39,MATCH(ROWS($T$10:T21),$R$10:$R$39,0))&amp;" ("&amp;S21&amp;")"</f>
        <v/>
      </c>
      <c r="U21" s="72">
        <f>INDEX($F$10:$F$39,MATCH(ROWS($U$10:U21),$R$10:$R$39,0))</f>
        <v/>
      </c>
      <c r="V21" s="73">
        <f>INDEX($H$10:$H$39,MATCH(ROWS($V$10:V21),$R$10:$R$39,0))</f>
        <v/>
      </c>
      <c r="W21" s="74">
        <f>IF($S21="A",$U21,NA())</f>
        <v/>
      </c>
      <c r="X21" s="75">
        <f>IF($S21="B",$U21,NA())</f>
        <v/>
      </c>
      <c r="Y21" s="76">
        <f>IF($S21="C",$U21,NA())</f>
        <v/>
      </c>
    </row>
    <row r="22" ht="19" customHeight="1">
      <c r="A22" s="78">
        <f>IF($H22&lt;=$E$5,"A",IF($H22&lt;=$G$5,"B","C"))</f>
        <v/>
      </c>
      <c r="B22" s="79" t="inlineStr">
        <is>
          <t>HD Externo 2TB</t>
        </is>
      </c>
      <c r="C22" s="80" t="n">
        <v>20</v>
      </c>
      <c r="D22" s="61" t="n">
        <v>18</v>
      </c>
      <c r="E22" s="62" t="n">
        <v>420</v>
      </c>
      <c r="F22" s="81">
        <f>IFERROR(D22*E22,0)</f>
        <v/>
      </c>
      <c r="G22" s="82">
        <f>IFERROR(F22/SUM($F$10:$F$39),0)</f>
        <v/>
      </c>
      <c r="H22" s="82">
        <f>IFERROR(SUMIF($F$10:$F$39,"&gt;="&amp;F22,$F$10:$F$39)/SUM($F$10:$F$39),0)</f>
        <v/>
      </c>
      <c r="R22" s="70">
        <f>RANK.EQ(F22,$F$10:$F$39,0)+COUNTIF($F$10:F22,F22)-1</f>
        <v/>
      </c>
      <c r="S22" s="70">
        <f>INDEX($A$10:$A$39,MATCH(ROWS($S$10:S22),$R$10:$R$39,0))</f>
        <v/>
      </c>
      <c r="T22" s="71">
        <f>INDEX($B$10:$B$39,MATCH(ROWS($T$10:T22),$R$10:$R$39,0))&amp;" ("&amp;S22&amp;")"</f>
        <v/>
      </c>
      <c r="U22" s="72">
        <f>INDEX($F$10:$F$39,MATCH(ROWS($U$10:U22),$R$10:$R$39,0))</f>
        <v/>
      </c>
      <c r="V22" s="73">
        <f>INDEX($H$10:$H$39,MATCH(ROWS($V$10:V22),$R$10:$R$39,0))</f>
        <v/>
      </c>
      <c r="W22" s="74">
        <f>IF($S22="A",$U22,NA())</f>
        <v/>
      </c>
      <c r="X22" s="75">
        <f>IF($S22="B",$U22,NA())</f>
        <v/>
      </c>
      <c r="Y22" s="76">
        <f>IF($S22="C",$U22,NA())</f>
        <v/>
      </c>
    </row>
    <row r="23" ht="19" customHeight="1">
      <c r="A23" s="78">
        <f>IF($H23&lt;=$E$5,"A",IF($H23&lt;=$G$5,"B","C"))</f>
        <v/>
      </c>
      <c r="B23" s="79" t="inlineStr">
        <is>
          <t>Teclado Mecanico RGB</t>
        </is>
      </c>
      <c r="C23" s="80" t="n">
        <v>5</v>
      </c>
      <c r="D23" s="61" t="n">
        <v>30</v>
      </c>
      <c r="E23" s="62" t="n">
        <v>250</v>
      </c>
      <c r="F23" s="81">
        <f>IFERROR(D23*E23,0)</f>
        <v/>
      </c>
      <c r="G23" s="82">
        <f>IFERROR(F23/SUM($F$10:$F$39),0)</f>
        <v/>
      </c>
      <c r="H23" s="82">
        <f>IFERROR(SUMIF($F$10:$F$39,"&gt;="&amp;F23,$F$10:$F$39)/SUM($F$10:$F$39),0)</f>
        <v/>
      </c>
      <c r="R23" s="70">
        <f>RANK.EQ(F23,$F$10:$F$39,0)+COUNTIF($F$10:F23,F23)-1</f>
        <v/>
      </c>
      <c r="S23" s="70">
        <f>INDEX($A$10:$A$39,MATCH(ROWS($S$10:S23),$R$10:$R$39,0))</f>
        <v/>
      </c>
      <c r="T23" s="71">
        <f>INDEX($B$10:$B$39,MATCH(ROWS($T$10:T23),$R$10:$R$39,0))&amp;" ("&amp;S23&amp;")"</f>
        <v/>
      </c>
      <c r="U23" s="72">
        <f>INDEX($F$10:$F$39,MATCH(ROWS($U$10:U23),$R$10:$R$39,0))</f>
        <v/>
      </c>
      <c r="V23" s="73">
        <f>INDEX($H$10:$H$39,MATCH(ROWS($V$10:V23),$R$10:$R$39,0))</f>
        <v/>
      </c>
      <c r="W23" s="74">
        <f>IF($S23="A",$U23,NA())</f>
        <v/>
      </c>
      <c r="X23" s="75">
        <f>IF($S23="B",$U23,NA())</f>
        <v/>
      </c>
      <c r="Y23" s="76">
        <f>IF($S23="C",$U23,NA())</f>
        <v/>
      </c>
    </row>
    <row r="24" ht="19" customHeight="1">
      <c r="A24" s="68">
        <f>IF($H24&lt;=$E$5,"A",IF($H24&lt;=$G$5,"B","C"))</f>
        <v/>
      </c>
      <c r="B24" s="83" t="inlineStr">
        <is>
          <t>Pen Drive 64GB</t>
        </is>
      </c>
      <c r="C24" s="84" t="n">
        <v>9</v>
      </c>
      <c r="D24" s="61" t="n">
        <v>150</v>
      </c>
      <c r="E24" s="62" t="n">
        <v>45</v>
      </c>
      <c r="F24" s="85">
        <f>IFERROR(D24*E24,0)</f>
        <v/>
      </c>
      <c r="G24" s="86">
        <f>IFERROR(F24/SUM($F$10:$F$39),0)</f>
        <v/>
      </c>
      <c r="H24" s="86">
        <f>IFERROR(SUMIF($F$10:$F$39,"&gt;="&amp;F24,$F$10:$F$39)/SUM($F$10:$F$39),0)</f>
        <v/>
      </c>
      <c r="R24" s="70">
        <f>RANK.EQ(F24,$F$10:$F$39,0)+COUNTIF($F$10:F24,F24)-1</f>
        <v/>
      </c>
      <c r="S24" s="70">
        <f>INDEX($A$10:$A$39,MATCH(ROWS($S$10:S24),$R$10:$R$39,0))</f>
        <v/>
      </c>
      <c r="T24" s="71">
        <f>INDEX($B$10:$B$39,MATCH(ROWS($T$10:T24),$R$10:$R$39,0))&amp;" ("&amp;S24&amp;")"</f>
        <v/>
      </c>
      <c r="U24" s="72">
        <f>INDEX($F$10:$F$39,MATCH(ROWS($U$10:U24),$R$10:$R$39,0))</f>
        <v/>
      </c>
      <c r="V24" s="73">
        <f>INDEX($H$10:$H$39,MATCH(ROWS($V$10:V24),$R$10:$R$39,0))</f>
        <v/>
      </c>
      <c r="W24" s="74">
        <f>IF($S24="A",$U24,NA())</f>
        <v/>
      </c>
      <c r="X24" s="75">
        <f>IF($S24="B",$U24,NA())</f>
        <v/>
      </c>
      <c r="Y24" s="76">
        <f>IF($S24="C",$U24,NA())</f>
        <v/>
      </c>
    </row>
    <row r="25" ht="19" customHeight="1">
      <c r="A25" s="68">
        <f>IF($H25&lt;=$E$5,"A",IF($H25&lt;=$G$5,"B","C"))</f>
        <v/>
      </c>
      <c r="B25" s="83" t="inlineStr">
        <is>
          <t>Headset com Microfone</t>
        </is>
      </c>
      <c r="C25" s="84" t="n">
        <v>13</v>
      </c>
      <c r="D25" s="61" t="n">
        <v>60</v>
      </c>
      <c r="E25" s="62" t="n">
        <v>110</v>
      </c>
      <c r="F25" s="85">
        <f>IFERROR(D25*E25,0)</f>
        <v/>
      </c>
      <c r="G25" s="86">
        <f>IFERROR(F25/SUM($F$10:$F$39),0)</f>
        <v/>
      </c>
      <c r="H25" s="86">
        <f>IFERROR(SUMIF($F$10:$F$39,"&gt;="&amp;F25,$F$10:$F$39)/SUM($F$10:$F$39),0)</f>
        <v/>
      </c>
      <c r="R25" s="70">
        <f>RANK.EQ(F25,$F$10:$F$39,0)+COUNTIF($F$10:F25,F25)-1</f>
        <v/>
      </c>
      <c r="S25" s="70">
        <f>INDEX($A$10:$A$39,MATCH(ROWS($S$10:S25),$R$10:$R$39,0))</f>
        <v/>
      </c>
      <c r="T25" s="71">
        <f>INDEX($B$10:$B$39,MATCH(ROWS($T$10:T25),$R$10:$R$39,0))&amp;" ("&amp;S25&amp;")"</f>
        <v/>
      </c>
      <c r="U25" s="72">
        <f>INDEX($F$10:$F$39,MATCH(ROWS($U$10:U25),$R$10:$R$39,0))</f>
        <v/>
      </c>
      <c r="V25" s="73">
        <f>INDEX($H$10:$H$39,MATCH(ROWS($V$10:V25),$R$10:$R$39,0))</f>
        <v/>
      </c>
      <c r="W25" s="74">
        <f>IF($S25="A",$U25,NA())</f>
        <v/>
      </c>
      <c r="X25" s="75">
        <f>IF($S25="B",$U25,NA())</f>
        <v/>
      </c>
      <c r="Y25" s="76">
        <f>IF($S25="C",$U25,NA())</f>
        <v/>
      </c>
    </row>
    <row r="26" ht="19" customHeight="1">
      <c r="A26" s="68">
        <f>IF($H26&lt;=$E$5,"A",IF($H26&lt;=$G$5,"B","C"))</f>
        <v/>
      </c>
      <c r="B26" s="83" t="inlineStr">
        <is>
          <t>Pacote de Papel A4</t>
        </is>
      </c>
      <c r="C26" s="84" t="n">
        <v>7</v>
      </c>
      <c r="D26" s="61" t="n">
        <v>200</v>
      </c>
      <c r="E26" s="62" t="n">
        <v>28</v>
      </c>
      <c r="F26" s="85">
        <f>IFERROR(D26*E26,0)</f>
        <v/>
      </c>
      <c r="G26" s="86">
        <f>IFERROR(F26/SUM($F$10:$F$39),0)</f>
        <v/>
      </c>
      <c r="H26" s="86">
        <f>IFERROR(SUMIF($F$10:$F$39,"&gt;="&amp;F26,$F$10:$F$39)/SUM($F$10:$F$39),0)</f>
        <v/>
      </c>
      <c r="R26" s="70">
        <f>RANK.EQ(F26,$F$10:$F$39,0)+COUNTIF($F$10:F26,F26)-1</f>
        <v/>
      </c>
      <c r="S26" s="70">
        <f>INDEX($A$10:$A$39,MATCH(ROWS($S$10:S26),$R$10:$R$39,0))</f>
        <v/>
      </c>
      <c r="T26" s="71">
        <f>INDEX($B$10:$B$39,MATCH(ROWS($T$10:T26),$R$10:$R$39,0))&amp;" ("&amp;S26&amp;")"</f>
        <v/>
      </c>
      <c r="U26" s="72">
        <f>INDEX($F$10:$F$39,MATCH(ROWS($U$10:U26),$R$10:$R$39,0))</f>
        <v/>
      </c>
      <c r="V26" s="73">
        <f>INDEX($H$10:$H$39,MATCH(ROWS($V$10:V26),$R$10:$R$39,0))</f>
        <v/>
      </c>
      <c r="W26" s="74">
        <f>IF($S26="A",$U26,NA())</f>
        <v/>
      </c>
      <c r="X26" s="75">
        <f>IF($S26="B",$U26,NA())</f>
        <v/>
      </c>
      <c r="Y26" s="76">
        <f>IF($S26="C",$U26,NA())</f>
        <v/>
      </c>
    </row>
    <row r="27" ht="19" customHeight="1">
      <c r="A27" s="68">
        <f>IF($H27&lt;=$E$5,"A",IF($H27&lt;=$G$5,"B","C"))</f>
        <v/>
      </c>
      <c r="B27" s="83" t="inlineStr">
        <is>
          <t>Teclado de Entrada</t>
        </is>
      </c>
      <c r="C27" s="84" t="n">
        <v>29</v>
      </c>
      <c r="D27" s="61" t="n">
        <v>100</v>
      </c>
      <c r="E27" s="62" t="n">
        <v>45</v>
      </c>
      <c r="F27" s="85">
        <f>IFERROR(D27*E27,0)</f>
        <v/>
      </c>
      <c r="G27" s="86">
        <f>IFERROR(F27/SUM($F$10:$F$39),0)</f>
        <v/>
      </c>
      <c r="H27" s="86">
        <f>IFERROR(SUMIF($F$10:$F$39,"&gt;="&amp;F27,$F$10:$F$39)/SUM($F$10:$F$39),0)</f>
        <v/>
      </c>
      <c r="R27" s="70">
        <f>RANK.EQ(F27,$F$10:$F$39,0)+COUNTIF($F$10:F27,F27)-1</f>
        <v/>
      </c>
      <c r="S27" s="70">
        <f>INDEX($A$10:$A$39,MATCH(ROWS($S$10:S27),$R$10:$R$39,0))</f>
        <v/>
      </c>
      <c r="T27" s="71">
        <f>INDEX($B$10:$B$39,MATCH(ROWS($T$10:T27),$R$10:$R$39,0))&amp;" ("&amp;S27&amp;")"</f>
        <v/>
      </c>
      <c r="U27" s="72">
        <f>INDEX($F$10:$F$39,MATCH(ROWS($U$10:U27),$R$10:$R$39,0))</f>
        <v/>
      </c>
      <c r="V27" s="73">
        <f>INDEX($H$10:$H$39,MATCH(ROWS($V$10:V27),$R$10:$R$39,0))</f>
        <v/>
      </c>
      <c r="W27" s="74">
        <f>IF($S27="A",$U27,NA())</f>
        <v/>
      </c>
      <c r="X27" s="75">
        <f>IF($S27="B",$U27,NA())</f>
        <v/>
      </c>
      <c r="Y27" s="76">
        <f>IF($S27="C",$U27,NA())</f>
        <v/>
      </c>
    </row>
    <row r="28" ht="19" customHeight="1">
      <c r="A28" s="68">
        <f>IF($H28&lt;=$E$5,"A",IF($H28&lt;=$G$5,"B","C"))</f>
        <v/>
      </c>
      <c r="B28" s="83" t="inlineStr">
        <is>
          <t>Filtro de Linha</t>
        </is>
      </c>
      <c r="C28" s="84" t="n">
        <v>18</v>
      </c>
      <c r="D28" s="61" t="n">
        <v>110</v>
      </c>
      <c r="E28" s="62" t="n">
        <v>40</v>
      </c>
      <c r="F28" s="85">
        <f>IFERROR(D28*E28,0)</f>
        <v/>
      </c>
      <c r="G28" s="86">
        <f>IFERROR(F28/SUM($F$10:$F$39),0)</f>
        <v/>
      </c>
      <c r="H28" s="86">
        <f>IFERROR(SUMIF($F$10:$F$39,"&gt;="&amp;F28,$F$10:$F$39)/SUM($F$10:$F$39),0)</f>
        <v/>
      </c>
      <c r="R28" s="70">
        <f>RANK.EQ(F28,$F$10:$F$39,0)+COUNTIF($F$10:F28,F28)-1</f>
        <v/>
      </c>
      <c r="S28" s="70">
        <f>INDEX($A$10:$A$39,MATCH(ROWS($S$10:S28),$R$10:$R$39,0))</f>
        <v/>
      </c>
      <c r="T28" s="71">
        <f>INDEX($B$10:$B$39,MATCH(ROWS($T$10:T28),$R$10:$R$39,0))&amp;" ("&amp;S28&amp;")"</f>
        <v/>
      </c>
      <c r="U28" s="72">
        <f>INDEX($F$10:$F$39,MATCH(ROWS($U$10:U28),$R$10:$R$39,0))</f>
        <v/>
      </c>
      <c r="V28" s="73">
        <f>INDEX($H$10:$H$39,MATCH(ROWS($V$10:V28),$R$10:$R$39,0))</f>
        <v/>
      </c>
      <c r="W28" s="74">
        <f>IF($S28="A",$U28,NA())</f>
        <v/>
      </c>
      <c r="X28" s="75">
        <f>IF($S28="B",$U28,NA())</f>
        <v/>
      </c>
      <c r="Y28" s="76">
        <f>IF($S28="C",$U28,NA())</f>
        <v/>
      </c>
    </row>
    <row r="29" ht="19" customHeight="1">
      <c r="A29" s="68">
        <f>IF($H29&lt;=$E$5,"A",IF($H29&lt;=$G$5,"B","C"))</f>
        <v/>
      </c>
      <c r="B29" s="83" t="inlineStr">
        <is>
          <t>Webcam Full HD</t>
        </is>
      </c>
      <c r="C29" s="84" t="n">
        <v>14</v>
      </c>
      <c r="D29" s="61" t="n">
        <v>22</v>
      </c>
      <c r="E29" s="62" t="n">
        <v>180</v>
      </c>
      <c r="F29" s="85">
        <f>IFERROR(D29*E29,0)</f>
        <v/>
      </c>
      <c r="G29" s="86">
        <f>IFERROR(F29/SUM($F$10:$F$39),0)</f>
        <v/>
      </c>
      <c r="H29" s="86">
        <f>IFERROR(SUMIF($F$10:$F$39,"&gt;="&amp;F29,$F$10:$F$39)/SUM($F$10:$F$39),0)</f>
        <v/>
      </c>
      <c r="R29" s="70">
        <f>RANK.EQ(F29,$F$10:$F$39,0)+COUNTIF($F$10:F29,F29)-1</f>
        <v/>
      </c>
      <c r="S29" s="70">
        <f>INDEX($A$10:$A$39,MATCH(ROWS($S$10:S29),$R$10:$R$39,0))</f>
        <v/>
      </c>
      <c r="T29" s="71">
        <f>INDEX($B$10:$B$39,MATCH(ROWS($T$10:T29),$R$10:$R$39,0))&amp;" ("&amp;S29&amp;")"</f>
        <v/>
      </c>
      <c r="U29" s="72">
        <f>INDEX($F$10:$F$39,MATCH(ROWS($U$10:U29),$R$10:$R$39,0))</f>
        <v/>
      </c>
      <c r="V29" s="73">
        <f>INDEX($H$10:$H$39,MATCH(ROWS($V$10:V29),$R$10:$R$39,0))</f>
        <v/>
      </c>
      <c r="W29" s="74">
        <f>IF($S29="A",$U29,NA())</f>
        <v/>
      </c>
      <c r="X29" s="75">
        <f>IF($S29="B",$U29,NA())</f>
        <v/>
      </c>
      <c r="Y29" s="76">
        <f>IF($S29="C",$U29,NA())</f>
        <v/>
      </c>
    </row>
    <row r="30" ht="19" customHeight="1">
      <c r="A30" s="68">
        <f>IF($H30&lt;=$E$5,"A",IF($H30&lt;=$G$5,"B","C"))</f>
        <v/>
      </c>
      <c r="B30" s="83" t="inlineStr">
        <is>
          <t>Pilhas AA (Pacote)</t>
        </is>
      </c>
      <c r="C30" s="84" t="n">
        <v>23</v>
      </c>
      <c r="D30" s="61" t="n">
        <v>300</v>
      </c>
      <c r="E30" s="62" t="n">
        <v>12</v>
      </c>
      <c r="F30" s="85">
        <f>IFERROR(D30*E30,0)</f>
        <v/>
      </c>
      <c r="G30" s="86">
        <f>IFERROR(F30/SUM($F$10:$F$39),0)</f>
        <v/>
      </c>
      <c r="H30" s="86">
        <f>IFERROR(SUMIF($F$10:$F$39,"&gt;="&amp;F30,$F$10:$F$39)/SUM($F$10:$F$39),0)</f>
        <v/>
      </c>
      <c r="R30" s="70">
        <f>RANK.EQ(F30,$F$10:$F$39,0)+COUNTIF($F$10:F30,F30)-1</f>
        <v/>
      </c>
      <c r="S30" s="70">
        <f>INDEX($A$10:$A$39,MATCH(ROWS($S$10:S30),$R$10:$R$39,0))</f>
        <v/>
      </c>
      <c r="T30" s="71">
        <f>INDEX($B$10:$B$39,MATCH(ROWS($T$10:T30),$R$10:$R$39,0))&amp;" ("&amp;S30&amp;")"</f>
        <v/>
      </c>
      <c r="U30" s="72">
        <f>INDEX($F$10:$F$39,MATCH(ROWS($U$10:U30),$R$10:$R$39,0))</f>
        <v/>
      </c>
      <c r="V30" s="73">
        <f>INDEX($H$10:$H$39,MATCH(ROWS($V$10:V30),$R$10:$R$39,0))</f>
        <v/>
      </c>
      <c r="W30" s="74">
        <f>IF($S30="A",$U30,NA())</f>
        <v/>
      </c>
      <c r="X30" s="75">
        <f>IF($S30="B",$U30,NA())</f>
        <v/>
      </c>
      <c r="Y30" s="76">
        <f>IF($S30="C",$U30,NA())</f>
        <v/>
      </c>
    </row>
    <row r="31" ht="19" customHeight="1">
      <c r="A31" s="68">
        <f>IF($H31&lt;=$E$5,"A",IF($H31&lt;=$G$5,"B","C"))</f>
        <v/>
      </c>
      <c r="B31" s="83" t="inlineStr">
        <is>
          <t>Adaptador USB-C</t>
        </is>
      </c>
      <c r="C31" s="84" t="n">
        <v>16</v>
      </c>
      <c r="D31" s="61" t="n">
        <v>90</v>
      </c>
      <c r="E31" s="62" t="n">
        <v>35</v>
      </c>
      <c r="F31" s="85">
        <f>IFERROR(D31*E31,0)</f>
        <v/>
      </c>
      <c r="G31" s="86">
        <f>IFERROR(F31/SUM($F$10:$F$39),0)</f>
        <v/>
      </c>
      <c r="H31" s="86">
        <f>IFERROR(SUMIF($F$10:$F$39,"&gt;="&amp;F31,$F$10:$F$39)/SUM($F$10:$F$39),0)</f>
        <v/>
      </c>
      <c r="R31" s="70">
        <f>RANK.EQ(F31,$F$10:$F$39,0)+COUNTIF($F$10:F31,F31)-1</f>
        <v/>
      </c>
      <c r="S31" s="70">
        <f>INDEX($A$10:$A$39,MATCH(ROWS($S$10:S31),$R$10:$R$39,0))</f>
        <v/>
      </c>
      <c r="T31" s="71">
        <f>INDEX($B$10:$B$39,MATCH(ROWS($T$10:T31),$R$10:$R$39,0))&amp;" ("&amp;S31&amp;")"</f>
        <v/>
      </c>
      <c r="U31" s="72">
        <f>INDEX($F$10:$F$39,MATCH(ROWS($U$10:U31),$R$10:$R$39,0))</f>
        <v/>
      </c>
      <c r="V31" s="73">
        <f>INDEX($H$10:$H$39,MATCH(ROWS($V$10:V31),$R$10:$R$39,0))</f>
        <v/>
      </c>
      <c r="W31" s="74">
        <f>IF($S31="A",$U31,NA())</f>
        <v/>
      </c>
      <c r="X31" s="75">
        <f>IF($S31="B",$U31,NA())</f>
        <v/>
      </c>
      <c r="Y31" s="76">
        <f>IF($S31="C",$U31,NA())</f>
        <v/>
      </c>
    </row>
    <row r="32" ht="19" customHeight="1">
      <c r="A32" s="68">
        <f>IF($H32&lt;=$E$5,"A",IF($H32&lt;=$G$5,"B","C"))</f>
        <v/>
      </c>
      <c r="B32" s="83" t="inlineStr">
        <is>
          <t>Suporte para Monitor</t>
        </is>
      </c>
      <c r="C32" s="84" t="n">
        <v>28</v>
      </c>
      <c r="D32" s="61" t="n">
        <v>20</v>
      </c>
      <c r="E32" s="62" t="n">
        <v>140</v>
      </c>
      <c r="F32" s="85">
        <f>IFERROR(D32*E32,0)</f>
        <v/>
      </c>
      <c r="G32" s="86">
        <f>IFERROR(F32/SUM($F$10:$F$39),0)</f>
        <v/>
      </c>
      <c r="H32" s="86">
        <f>IFERROR(SUMIF($F$10:$F$39,"&gt;="&amp;F32,$F$10:$F$39)/SUM($F$10:$F$39),0)</f>
        <v/>
      </c>
      <c r="R32" s="70">
        <f>RANK.EQ(F32,$F$10:$F$39,0)+COUNTIF($F$10:F32,F32)-1</f>
        <v/>
      </c>
      <c r="S32" s="70">
        <f>INDEX($A$10:$A$39,MATCH(ROWS($S$10:S32),$R$10:$R$39,0))</f>
        <v/>
      </c>
      <c r="T32" s="71">
        <f>INDEX($B$10:$B$39,MATCH(ROWS($T$10:T32),$R$10:$R$39,0))&amp;" ("&amp;S32&amp;")"</f>
        <v/>
      </c>
      <c r="U32" s="72">
        <f>INDEX($F$10:$F$39,MATCH(ROWS($U$10:U32),$R$10:$R$39,0))</f>
        <v/>
      </c>
      <c r="V32" s="73">
        <f>INDEX($H$10:$H$39,MATCH(ROWS($V$10:V32),$R$10:$R$39,0))</f>
        <v/>
      </c>
      <c r="W32" s="74">
        <f>IF($S32="A",$U32,NA())</f>
        <v/>
      </c>
      <c r="X32" s="75">
        <f>IF($S32="B",$U32,NA())</f>
        <v/>
      </c>
      <c r="Y32" s="76">
        <f>IF($S32="C",$U32,NA())</f>
        <v/>
      </c>
    </row>
    <row r="33" ht="19" customHeight="1">
      <c r="A33" s="68">
        <f>IF($H33&lt;=$E$5,"A",IF($H33&lt;=$G$5,"B","C"))</f>
        <v/>
      </c>
      <c r="B33" s="83" t="inlineStr">
        <is>
          <t>Cabo HDMI 2m</t>
        </is>
      </c>
      <c r="C33" s="84" t="n">
        <v>1</v>
      </c>
      <c r="D33" s="61" t="n">
        <v>85</v>
      </c>
      <c r="E33" s="62" t="n">
        <v>25</v>
      </c>
      <c r="F33" s="85">
        <f>IFERROR(D33*E33,0)</f>
        <v/>
      </c>
      <c r="G33" s="86">
        <f>IFERROR(F33/SUM($F$10:$F$39),0)</f>
        <v/>
      </c>
      <c r="H33" s="86">
        <f>IFERROR(SUMIF($F$10:$F$39,"&gt;="&amp;F33,$F$10:$F$39)/SUM($F$10:$F$39),0)</f>
        <v/>
      </c>
      <c r="R33" s="70">
        <f>RANK.EQ(F33,$F$10:$F$39,0)+COUNTIF($F$10:F33,F33)-1</f>
        <v/>
      </c>
      <c r="S33" s="70">
        <f>INDEX($A$10:$A$39,MATCH(ROWS($S$10:S33),$R$10:$R$39,0))</f>
        <v/>
      </c>
      <c r="T33" s="71">
        <f>INDEX($B$10:$B$39,MATCH(ROWS($T$10:T33),$R$10:$R$39,0))&amp;" ("&amp;S33&amp;")"</f>
        <v/>
      </c>
      <c r="U33" s="72">
        <f>INDEX($F$10:$F$39,MATCH(ROWS($U$10:U33),$R$10:$R$39,0))</f>
        <v/>
      </c>
      <c r="V33" s="73">
        <f>INDEX($H$10:$H$39,MATCH(ROWS($V$10:V33),$R$10:$R$39,0))</f>
        <v/>
      </c>
      <c r="W33" s="74">
        <f>IF($S33="A",$U33,NA())</f>
        <v/>
      </c>
      <c r="X33" s="75">
        <f>IF($S33="B",$U33,NA())</f>
        <v/>
      </c>
      <c r="Y33" s="76">
        <f>IF($S33="C",$U33,NA())</f>
        <v/>
      </c>
    </row>
    <row r="34" ht="19" customHeight="1">
      <c r="A34" s="68">
        <f>IF($H34&lt;=$E$5,"A",IF($H34&lt;=$G$5,"B","C"))</f>
        <v/>
      </c>
      <c r="B34" s="83" t="inlineStr">
        <is>
          <t>Mousepad Simples</t>
        </is>
      </c>
      <c r="C34" s="84" t="n">
        <v>24</v>
      </c>
      <c r="D34" s="61" t="n">
        <v>250</v>
      </c>
      <c r="E34" s="62" t="n">
        <v>8</v>
      </c>
      <c r="F34" s="85">
        <f>IFERROR(D34*E34,0)</f>
        <v/>
      </c>
      <c r="G34" s="86">
        <f>IFERROR(F34/SUM($F$10:$F$39),0)</f>
        <v/>
      </c>
      <c r="H34" s="86">
        <f>IFERROR(SUMIF($F$10:$F$39,"&gt;="&amp;F34,$F$10:$F$39)/SUM($F$10:$F$39),0)</f>
        <v/>
      </c>
      <c r="R34" s="70">
        <f>RANK.EQ(F34,$F$10:$F$39,0)+COUNTIF($F$10:F34,F34)-1</f>
        <v/>
      </c>
      <c r="S34" s="70">
        <f>INDEX($A$10:$A$39,MATCH(ROWS($S$10:S34),$R$10:$R$39,0))</f>
        <v/>
      </c>
      <c r="T34" s="71">
        <f>INDEX($B$10:$B$39,MATCH(ROWS($T$10:T34),$R$10:$R$39,0))&amp;" ("&amp;S34&amp;")"</f>
        <v/>
      </c>
      <c r="U34" s="72">
        <f>INDEX($F$10:$F$39,MATCH(ROWS($U$10:U34),$R$10:$R$39,0))</f>
        <v/>
      </c>
      <c r="V34" s="73">
        <f>INDEX($H$10:$H$39,MATCH(ROWS($V$10:V34),$R$10:$R$39,0))</f>
        <v/>
      </c>
      <c r="W34" s="74">
        <f>IF($S34="A",$U34,NA())</f>
        <v/>
      </c>
      <c r="X34" s="75">
        <f>IF($S34="B",$U34,NA())</f>
        <v/>
      </c>
      <c r="Y34" s="76">
        <f>IF($S34="C",$U34,NA())</f>
        <v/>
      </c>
    </row>
    <row r="35" ht="19" customHeight="1">
      <c r="A35" s="68">
        <f>IF($H35&lt;=$E$5,"A",IF($H35&lt;=$G$5,"B","C"))</f>
        <v/>
      </c>
      <c r="B35" s="83" t="inlineStr">
        <is>
          <t>Mouse Optico Simples</t>
        </is>
      </c>
      <c r="C35" s="84" t="n">
        <v>3</v>
      </c>
      <c r="D35" s="61" t="n">
        <v>120</v>
      </c>
      <c r="E35" s="62" t="n">
        <v>15</v>
      </c>
      <c r="F35" s="85">
        <f>IFERROR(D35*E35,0)</f>
        <v/>
      </c>
      <c r="G35" s="86">
        <f>IFERROR(F35/SUM($F$10:$F$39),0)</f>
        <v/>
      </c>
      <c r="H35" s="86">
        <f>IFERROR(SUMIF($F$10:$F$39,"&gt;="&amp;F35,$F$10:$F$39)/SUM($F$10:$F$39),0)</f>
        <v/>
      </c>
      <c r="R35" s="70">
        <f>RANK.EQ(F35,$F$10:$F$39,0)+COUNTIF($F$10:F35,F35)-1</f>
        <v/>
      </c>
      <c r="S35" s="70">
        <f>INDEX($A$10:$A$39,MATCH(ROWS($S$10:S35),$R$10:$R$39,0))</f>
        <v/>
      </c>
      <c r="T35" s="71">
        <f>INDEX($B$10:$B$39,MATCH(ROWS($T$10:T35),$R$10:$R$39,0))&amp;" ("&amp;S35&amp;")"</f>
        <v/>
      </c>
      <c r="U35" s="72">
        <f>INDEX($F$10:$F$39,MATCH(ROWS($U$10:U35),$R$10:$R$39,0))</f>
        <v/>
      </c>
      <c r="V35" s="73">
        <f>INDEX($H$10:$H$39,MATCH(ROWS($V$10:V35),$R$10:$R$39,0))</f>
        <v/>
      </c>
      <c r="W35" s="74">
        <f>IF($S35="A",$U35,NA())</f>
        <v/>
      </c>
      <c r="X35" s="75">
        <f>IF($S35="B",$U35,NA())</f>
        <v/>
      </c>
      <c r="Y35" s="76">
        <f>IF($S35="C",$U35,NA())</f>
        <v/>
      </c>
    </row>
    <row r="36" ht="19" customHeight="1">
      <c r="A36" s="68">
        <f>IF($H36&lt;=$E$5,"A",IF($H36&lt;=$G$5,"B","C"))</f>
        <v/>
      </c>
      <c r="B36" s="83" t="inlineStr">
        <is>
          <t>Organizador de Cabos</t>
        </is>
      </c>
      <c r="C36" s="84" t="n">
        <v>25</v>
      </c>
      <c r="D36" s="61" t="n">
        <v>180</v>
      </c>
      <c r="E36" s="62" t="n">
        <v>10</v>
      </c>
      <c r="F36" s="85">
        <f>IFERROR(D36*E36,0)</f>
        <v/>
      </c>
      <c r="G36" s="86">
        <f>IFERROR(F36/SUM($F$10:$F$39),0)</f>
        <v/>
      </c>
      <c r="H36" s="86">
        <f>IFERROR(SUMIF($F$10:$F$39,"&gt;="&amp;F36,$F$10:$F$39)/SUM($F$10:$F$39),0)</f>
        <v/>
      </c>
      <c r="R36" s="70">
        <f>RANK.EQ(F36,$F$10:$F$39,0)+COUNTIF($F$10:F36,F36)-1</f>
        <v/>
      </c>
      <c r="S36" s="70">
        <f>INDEX($A$10:$A$39,MATCH(ROWS($S$10:S36),$R$10:$R$39,0))</f>
        <v/>
      </c>
      <c r="T36" s="71">
        <f>INDEX($B$10:$B$39,MATCH(ROWS($T$10:T36),$R$10:$R$39,0))&amp;" ("&amp;S36&amp;")"</f>
        <v/>
      </c>
      <c r="U36" s="72">
        <f>INDEX($F$10:$F$39,MATCH(ROWS($U$10:U36),$R$10:$R$39,0))</f>
        <v/>
      </c>
      <c r="V36" s="73">
        <f>INDEX($H$10:$H$39,MATCH(ROWS($V$10:V36),$R$10:$R$39,0))</f>
        <v/>
      </c>
      <c r="W36" s="74">
        <f>IF($S36="A",$U36,NA())</f>
        <v/>
      </c>
      <c r="X36" s="75">
        <f>IF($S36="B",$U36,NA())</f>
        <v/>
      </c>
      <c r="Y36" s="76">
        <f>IF($S36="C",$U36,NA())</f>
        <v/>
      </c>
    </row>
    <row r="37" ht="19" customHeight="1">
      <c r="A37" s="68">
        <f>IF($H37&lt;=$E$5,"A",IF($H37&lt;=$G$5,"B","C"))</f>
        <v/>
      </c>
      <c r="B37" s="83" t="inlineStr">
        <is>
          <t>Ar comprimido (Lata)</t>
        </is>
      </c>
      <c r="C37" s="84" t="n">
        <v>27</v>
      </c>
      <c r="D37" s="61" t="n">
        <v>35</v>
      </c>
      <c r="E37" s="62" t="n">
        <v>45</v>
      </c>
      <c r="F37" s="85">
        <f>IFERROR(D37*E37,0)</f>
        <v/>
      </c>
      <c r="G37" s="86">
        <f>IFERROR(F37/SUM($F$10:$F$39),0)</f>
        <v/>
      </c>
      <c r="H37" s="86">
        <f>IFERROR(SUMIF($F$10:$F$39,"&gt;="&amp;F37,$F$10:$F$39)/SUM($F$10:$F$39),0)</f>
        <v/>
      </c>
      <c r="R37" s="70">
        <f>RANK.EQ(F37,$F$10:$F$39,0)+COUNTIF($F$10:F37,F37)-1</f>
        <v/>
      </c>
      <c r="S37" s="70">
        <f>INDEX($A$10:$A$39,MATCH(ROWS($S$10:S37),$R$10:$R$39,0))</f>
        <v/>
      </c>
      <c r="T37" s="71">
        <f>INDEX($B$10:$B$39,MATCH(ROWS($T$10:T37),$R$10:$R$39,0))&amp;" ("&amp;S37&amp;")"</f>
        <v/>
      </c>
      <c r="U37" s="72">
        <f>INDEX($F$10:$F$39,MATCH(ROWS($U$10:U37),$R$10:$R$39,0))</f>
        <v/>
      </c>
      <c r="V37" s="73">
        <f>INDEX($H$10:$H$39,MATCH(ROWS($V$10:V37),$R$10:$R$39,0))</f>
        <v/>
      </c>
      <c r="W37" s="74">
        <f>IF($S37="A",$U37,NA())</f>
        <v/>
      </c>
      <c r="X37" s="75">
        <f>IF($S37="B",$U37,NA())</f>
        <v/>
      </c>
      <c r="Y37" s="76">
        <f>IF($S37="C",$U37,NA())</f>
        <v/>
      </c>
    </row>
    <row r="38" ht="19" customHeight="1">
      <c r="A38" s="68">
        <f>IF($H38&lt;=$E$5,"A",IF($H38&lt;=$G$5,"B","C"))</f>
        <v/>
      </c>
      <c r="B38" s="83" t="inlineStr">
        <is>
          <t>Pasta Termica</t>
        </is>
      </c>
      <c r="C38" s="84" t="n">
        <v>26</v>
      </c>
      <c r="D38" s="61" t="n">
        <v>45</v>
      </c>
      <c r="E38" s="62" t="n">
        <v>35</v>
      </c>
      <c r="F38" s="85">
        <f>IFERROR(D38*E38,0)</f>
        <v/>
      </c>
      <c r="G38" s="86">
        <f>IFERROR(F38/SUM($F$10:$F$39),0)</f>
        <v/>
      </c>
      <c r="H38" s="86">
        <f>IFERROR(SUMIF($F$10:$F$39,"&gt;="&amp;F38,$F$10:$F$39)/SUM($F$10:$F$39),0)</f>
        <v/>
      </c>
      <c r="R38" s="70">
        <f>RANK.EQ(F38,$F$10:$F$39,0)+COUNTIF($F$10:F38,F38)-1</f>
        <v/>
      </c>
      <c r="S38" s="70">
        <f>INDEX($A$10:$A$39,MATCH(ROWS($S$10:S38),$R$10:$R$39,0))</f>
        <v/>
      </c>
      <c r="T38" s="71">
        <f>INDEX($B$10:$B$39,MATCH(ROWS($T$10:T38),$R$10:$R$39,0))&amp;" ("&amp;S38&amp;")"</f>
        <v/>
      </c>
      <c r="U38" s="72">
        <f>INDEX($F$10:$F$39,MATCH(ROWS($U$10:U38),$R$10:$R$39,0))</f>
        <v/>
      </c>
      <c r="V38" s="73">
        <f>INDEX($H$10:$H$39,MATCH(ROWS($V$10:V38),$R$10:$R$39,0))</f>
        <v/>
      </c>
      <c r="W38" s="74">
        <f>IF($S38="A",$U38,NA())</f>
        <v/>
      </c>
      <c r="X38" s="75">
        <f>IF($S38="B",$U38,NA())</f>
        <v/>
      </c>
      <c r="Y38" s="76">
        <f>IF($S38="C",$U38,NA())</f>
        <v/>
      </c>
    </row>
    <row r="39" ht="19" customHeight="1">
      <c r="A39" s="68">
        <f>IF($H39&lt;=$E$5,"A",IF($H39&lt;=$G$5,"B","C"))</f>
        <v/>
      </c>
      <c r="B39" s="83" t="inlineStr">
        <is>
          <t>Conector RJ45 (Cento)</t>
        </is>
      </c>
      <c r="C39" s="84" t="n">
        <v>30</v>
      </c>
      <c r="D39" s="61" t="n">
        <v>50</v>
      </c>
      <c r="E39" s="62" t="n">
        <v>30</v>
      </c>
      <c r="F39" s="85">
        <f>IFERROR(D39*E39,0)</f>
        <v/>
      </c>
      <c r="G39" s="86">
        <f>IFERROR(F39/SUM($F$10:$F$39),0)</f>
        <v/>
      </c>
      <c r="H39" s="86">
        <f>IFERROR(SUMIF($F$10:$F$39,"&gt;="&amp;F39,$F$10:$F$39)/SUM($F$10:$F$39),0)</f>
        <v/>
      </c>
      <c r="R39" s="70">
        <f>RANK.EQ(F39,$F$10:$F$39,0)+COUNTIF($F$10:F39,F39)-1</f>
        <v/>
      </c>
      <c r="S39" s="70">
        <f>INDEX($A$10:$A$39,MATCH(ROWS($S$10:S39),$R$10:$R$39,0))</f>
        <v/>
      </c>
      <c r="T39" s="71">
        <f>INDEX($B$10:$B$39,MATCH(ROWS($T$10:T39),$R$10:$R$39,0))&amp;" ("&amp;S39&amp;")"</f>
        <v/>
      </c>
      <c r="U39" s="72">
        <f>INDEX($F$10:$F$39,MATCH(ROWS($U$10:U39),$R$10:$R$39,0))</f>
        <v/>
      </c>
      <c r="V39" s="73">
        <f>INDEX($H$10:$H$39,MATCH(ROWS($V$10:V39),$R$10:$R$39,0))</f>
        <v/>
      </c>
      <c r="W39" s="74">
        <f>IF($S39="A",$U39,NA())</f>
        <v/>
      </c>
      <c r="X39" s="75">
        <f>IF($S39="B",$U39,NA())</f>
        <v/>
      </c>
      <c r="Y39" s="76">
        <f>IF($S39="C",$U39,NA())</f>
        <v/>
      </c>
    </row>
    <row r="40" ht="22" customHeight="1">
      <c r="A40" s="87" t="inlineStr">
        <is>
          <t>TOTAL GERAL</t>
        </is>
      </c>
      <c r="B40" s="88" t="n"/>
      <c r="C40" s="88" t="n"/>
      <c r="D40" s="89">
        <f>SUM(D10:D39)</f>
        <v/>
      </c>
      <c r="E40" s="90" t="n"/>
      <c r="F40" s="91">
        <f>SUM(F10:F39)</f>
        <v/>
      </c>
      <c r="G40" s="92" t="n">
        <v>1</v>
      </c>
      <c r="H40" s="92" t="n">
        <v>1</v>
      </c>
    </row>
    <row r="71" ht="18" customHeight="1">
      <c r="A71" s="14" t="inlineStr">
        <is>
          <t xml:space="preserve">  CURVA ABC REGGAE  |  CURVA ABC REGGAE  —  ABA 02  |  One Love, One Data  |  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6">
    <mergeCell ref="G2:H2"/>
    <mergeCell ref="E71:F71"/>
    <mergeCell ref="C5:D5"/>
    <mergeCell ref="G71:H71"/>
    <mergeCell ref="E5:F5"/>
    <mergeCell ref="J1:N1"/>
    <mergeCell ref="A1:H1"/>
    <mergeCell ref="A6:H6"/>
    <mergeCell ref="C4:D4"/>
    <mergeCell ref="E4:F4"/>
    <mergeCell ref="A3:B3"/>
    <mergeCell ref="G3:H3"/>
    <mergeCell ref="A2:B2"/>
    <mergeCell ref="C2:D2"/>
    <mergeCell ref="J11:N11"/>
    <mergeCell ref="E2:F2"/>
    <mergeCell ref="A71:B71"/>
    <mergeCell ref="A71:H71"/>
    <mergeCell ref="C71:D71"/>
    <mergeCell ref="A5:B5"/>
    <mergeCell ref="G5:H5"/>
    <mergeCell ref="A40:C40"/>
    <mergeCell ref="A4:B4"/>
    <mergeCell ref="G4:H4"/>
    <mergeCell ref="C3:D3"/>
    <mergeCell ref="E3:F3"/>
  </mergeCells>
  <conditionalFormatting sqref="A10:H3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CURVA ABC REGGAE Generator</dc:creator>
  <dc:title>Curva ABC Reggae</dc:title>
  <dc:subject>Analise de Estoque ABC - Reggae Colors</dc:subject>
  <dcterms:created xsi:type="dcterms:W3CDTF">2026-05-14T03:34:36Z</dcterms:created>
  <dcterms:modified xsi:type="dcterms:W3CDTF">2026-05-14T03:34:36Z</dcterms:modified>
  <cp:keywords>ABC, Pareto, Estoque, Reggae, Dashboard</cp:keywords>
</cp:coreProperties>
</file>