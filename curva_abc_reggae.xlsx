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🟢 Primeira" sheetId="1" state="visible" r:id="rId1"/>
    <sheet name="🟡 01" sheetId="2" state="visible" r:id="rId2"/>
    <sheet name="🔴 02" sheetId="3" state="visible" r:id="rId3"/>
    <sheet name="📅 CALEND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R$ #,##0"/>
  </numFmts>
  <fonts count="25">
    <font>
      <name val="Calibri"/>
      <family val="2"/>
      <color theme="1"/>
      <sz val="11"/>
      <scheme val="minor"/>
    </font>
    <font>
      <name val="Calibri"/>
      <b val="1"/>
      <color rgb="00009B3A"/>
      <sz val="18"/>
    </font>
    <font>
      <name val="Calibri"/>
      <color rgb="00FFD700"/>
      <sz val="10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i val="1"/>
      <color rgb="00C8F5DB"/>
      <sz val="8"/>
    </font>
    <font>
      <name val="Calibri"/>
      <b val="1"/>
      <color rgb="00000000"/>
      <sz val="14"/>
    </font>
    <font>
      <name val="Calibri"/>
      <b val="1"/>
      <color rgb="00FFD7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009B3A"/>
      <sz val="10"/>
    </font>
    <font>
      <name val="Calibri"/>
      <b val="1"/>
      <color rgb="00FFFFFF"/>
      <sz val="12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FFD700"/>
      <sz val="12"/>
    </font>
    <font>
      <name val="Calibri"/>
      <b val="1"/>
      <color rgb="00009B3A"/>
      <sz val="22"/>
    </font>
    <font>
      <name val="Calibri"/>
      <i val="1"/>
      <color rgb="00D6F5E3"/>
      <sz val="9"/>
    </font>
    <font>
      <name val="Calibri"/>
      <b val="1"/>
      <color rgb="00FFFFFF"/>
      <sz val="8"/>
    </font>
    <font>
      <name val="Calibri"/>
      <b val="1"/>
      <color rgb="00FFFBD0"/>
      <sz val="9"/>
    </font>
    <font>
      <name val="Calibri"/>
      <color rgb="00D6F5E3"/>
      <sz val="9"/>
    </font>
    <font>
      <name val="Calibri"/>
      <color rgb="00FFECEC"/>
      <sz val="9"/>
    </font>
    <font>
      <name val="Calibri"/>
      <b val="1"/>
      <color rgb="00FFECEC"/>
      <sz val="9"/>
    </font>
  </fonts>
  <fills count="14">
    <fill>
      <patternFill/>
    </fill>
    <fill>
      <patternFill patternType="gray125"/>
    </fill>
    <fill>
      <patternFill patternType="solid"/>
    </fill>
    <fill>
      <patternFill patternType="solid">
        <fgColor rgb="00009B3A"/>
      </patternFill>
    </fill>
    <fill>
      <patternFill patternType="solid">
        <fgColor rgb="00FFD700"/>
      </patternFill>
    </fill>
    <fill>
      <patternFill patternType="solid">
        <fgColor rgb="00CC0000"/>
      </patternFill>
    </fill>
    <fill>
      <patternFill patternType="solid">
        <fgColor rgb="00141414"/>
      </patternFill>
    </fill>
    <fill>
      <patternFill patternType="solid">
        <fgColor rgb="00006B28"/>
      </patternFill>
    </fill>
    <fill>
      <patternFill patternType="solid">
        <fgColor rgb="00C8A400"/>
      </patternFill>
    </fill>
    <fill>
      <patternFill patternType="solid">
        <fgColor rgb="008B0000"/>
      </patternFill>
    </fill>
    <fill>
      <patternFill patternType="solid">
        <fgColor rgb="000D2010"/>
      </patternFill>
    </fill>
    <fill>
      <patternFill patternType="solid">
        <fgColor rgb="00080808"/>
      </patternFill>
    </fill>
    <fill>
      <patternFill patternType="solid">
        <fgColor rgb="000D1A0D"/>
      </patternFill>
    </fill>
    <fill>
      <patternFill patternType="solid">
        <fgColor rgb="001A0000"/>
      </patternFill>
    </fill>
  </fills>
  <borders count="18">
    <border>
      <left/>
      <right/>
      <top/>
      <bottom/>
      <diagonal/>
    </border>
    <border>
      <left style="medium">
        <color rgb="00009B3A"/>
      </left>
      <right style="thin">
        <color rgb="00009B3A"/>
      </right>
      <top style="medium">
        <color rgb="00009B3A"/>
      </top>
      <bottom style="thin">
        <color rgb="00009B3A"/>
      </bottom>
    </border>
    <border>
      <left style="thin">
        <color rgb="00009B3A"/>
      </left>
      <right style="thin">
        <color rgb="00009B3A"/>
      </right>
      <top style="medium">
        <color rgb="00009B3A"/>
      </top>
      <bottom style="thin">
        <color rgb="00009B3A"/>
      </bottom>
    </border>
    <border>
      <left style="thin">
        <color rgb="00009B3A"/>
      </left>
      <right style="medium">
        <color rgb="00009B3A"/>
      </right>
      <top style="medium">
        <color rgb="00009B3A"/>
      </top>
      <bottom style="thin">
        <color rgb="00009B3A"/>
      </bottom>
    </border>
    <border>
      <left style="medium">
        <color rgb="00009B3A"/>
      </left>
      <right style="thin">
        <color rgb="00009B3A"/>
      </right>
      <top style="thin">
        <color rgb="00009B3A"/>
      </top>
      <bottom style="thin">
        <color rgb="00009B3A"/>
      </bottom>
    </border>
    <border>
      <left style="thin">
        <color rgb="00009B3A"/>
      </left>
      <right style="thin">
        <color rgb="00009B3A"/>
      </right>
      <top style="thin">
        <color rgb="00009B3A"/>
      </top>
      <bottom style="thin">
        <color rgb="00009B3A"/>
      </bottom>
    </border>
    <border>
      <left style="thin">
        <color rgb="00009B3A"/>
      </left>
      <right style="medium">
        <color rgb="00009B3A"/>
      </right>
      <top style="thin">
        <color rgb="00009B3A"/>
      </top>
      <bottom style="thin">
        <color rgb="00009B3A"/>
      </bottom>
    </border>
    <border>
      <left style="medium">
        <color rgb="00009B3A"/>
      </left>
      <right style="thin">
        <color rgb="00009B3A"/>
      </right>
      <top style="thin">
        <color rgb="00009B3A"/>
      </top>
      <bottom style="medium">
        <color rgb="00009B3A"/>
      </bottom>
    </border>
    <border>
      <left style="thin">
        <color rgb="00009B3A"/>
      </left>
      <right style="thin">
        <color rgb="00009B3A"/>
      </right>
      <top style="thin">
        <color rgb="00009B3A"/>
      </top>
      <bottom style="medium">
        <color rgb="00009B3A"/>
      </bottom>
    </border>
    <border>
      <left style="thin">
        <color rgb="00009B3A"/>
      </left>
      <right style="medium">
        <color rgb="00009B3A"/>
      </right>
      <top style="thin">
        <color rgb="00009B3A"/>
      </top>
      <bottom style="medium">
        <color rgb="00009B3A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6B28"/>
      </left>
      <right style="thin">
        <color rgb="00006B28"/>
      </right>
      <top style="thin">
        <color rgb="00006B28"/>
      </top>
      <bottom style="thin">
        <color rgb="00006B2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6B28"/>
      </left>
      <right style="medium">
        <color rgb="00006B28"/>
      </right>
      <top style="thin">
        <color rgb="00DDDDDD"/>
      </top>
      <bottom style="thin">
        <color rgb="00DDDDDD"/>
      </bottom>
    </border>
    <border>
      <left style="thin">
        <color rgb="00009B3A"/>
      </left>
      <right style="thin">
        <color rgb="00009B3A"/>
      </right>
      <top style="medium">
        <color rgb="00009B3A"/>
      </top>
      <bottom style="medium">
        <color rgb="00009B3A"/>
      </bottom>
    </border>
    <border>
      <bottom style="medium">
        <color rgb="00FFFFFF"/>
      </bottom>
    </border>
    <border>
      <left style="thin">
        <color rgb="00141414"/>
      </left>
      <right style="thin">
        <color rgb="00141414"/>
      </right>
      <top style="thin">
        <color rgb="00141414"/>
      </top>
      <bottom style="thin">
        <color rgb="00141414"/>
      </bottom>
    </border>
    <border>
      <left style="hair">
        <color rgb="00111111"/>
      </left>
      <right style="hair">
        <color rgb="00111111"/>
      </right>
      <top style="hair">
        <color rgb="00111111"/>
      </top>
      <bottom style="hair">
        <color rgb="00111111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0" fillId="6" borderId="3" pivotButton="0" quotePrefix="0" xfId="0"/>
    <xf numFmtId="164" fontId="4" fillId="7" borderId="4" applyAlignment="1" pivotButton="0" quotePrefix="0" xfId="0">
      <alignment horizontal="center" vertical="center"/>
    </xf>
    <xf numFmtId="0" fontId="0" fillId="0" borderId="5" pivotButton="0" quotePrefix="0" xfId="0"/>
    <xf numFmtId="164" fontId="4" fillId="3" borderId="5" applyAlignment="1" pivotButton="0" quotePrefix="0" xfId="0">
      <alignment horizontal="center" vertical="center"/>
    </xf>
    <xf numFmtId="164" fontId="4" fillId="8" borderId="5" applyAlignment="1" pivotButton="0" quotePrefix="0" xfId="0">
      <alignment horizontal="center" vertical="center"/>
    </xf>
    <xf numFmtId="164" fontId="4" fillId="9" borderId="5" applyAlignment="1" pivotButton="0" quotePrefix="0" xfId="0">
      <alignment horizontal="center" vertical="center"/>
    </xf>
    <xf numFmtId="0" fontId="0" fillId="6" borderId="6" pivotButton="0" quotePrefix="0" xfId="0"/>
    <xf numFmtId="0" fontId="3" fillId="6" borderId="4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0" fillId="0" borderId="8" pivotButton="0" quotePrefix="0" xfId="0"/>
    <xf numFmtId="165" fontId="4" fillId="3" borderId="8" applyAlignment="1" pivotButton="0" quotePrefix="0" xfId="0">
      <alignment horizontal="center" vertical="center"/>
    </xf>
    <xf numFmtId="164" fontId="4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center" vertical="center"/>
    </xf>
    <xf numFmtId="0" fontId="0" fillId="6" borderId="9" pivotButton="0" quotePrefix="0" xfId="0"/>
    <xf numFmtId="0" fontId="6" fillId="7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right" vertical="center"/>
    </xf>
    <xf numFmtId="9" fontId="7" fillId="3" borderId="0" applyAlignment="1" applyProtection="1" pivotButton="0" quotePrefix="0" xfId="0">
      <alignment horizontal="center" vertical="center"/>
      <protection locked="0" hidden="0"/>
    </xf>
    <xf numFmtId="0" fontId="9" fillId="3" borderId="10" applyAlignment="1" pivotButton="0" quotePrefix="0" xfId="0">
      <alignment horizontal="center" vertical="center"/>
    </xf>
    <xf numFmtId="166" fontId="10" fillId="3" borderId="10" applyAlignment="1" pivotButton="0" quotePrefix="0" xfId="0">
      <alignment horizontal="center" vertical="center"/>
    </xf>
    <xf numFmtId="165" fontId="10" fillId="3" borderId="1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9" fontId="4" fillId="8" borderId="0" applyAlignment="1" applyProtection="1" pivotButton="0" quotePrefix="0" xfId="0">
      <alignment horizontal="center" vertical="center"/>
      <protection locked="0" hidden="0"/>
    </xf>
    <xf numFmtId="0" fontId="11" fillId="8" borderId="10" applyAlignment="1" pivotButton="0" quotePrefix="0" xfId="0">
      <alignment horizontal="center" vertical="center"/>
    </xf>
    <xf numFmtId="166" fontId="12" fillId="8" borderId="10" applyAlignment="1" pivotButton="0" quotePrefix="0" xfId="0">
      <alignment horizontal="center" vertical="center"/>
    </xf>
    <xf numFmtId="165" fontId="12" fillId="8" borderId="10" applyAlignment="1" pivotButton="0" quotePrefix="0" xfId="0">
      <alignment horizontal="center" vertical="center"/>
    </xf>
    <xf numFmtId="0" fontId="12" fillId="8" borderId="10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/>
    </xf>
    <xf numFmtId="0" fontId="9" fillId="9" borderId="10" applyAlignment="1" pivotButton="0" quotePrefix="0" xfId="0">
      <alignment horizontal="center" vertical="center"/>
    </xf>
    <xf numFmtId="166" fontId="10" fillId="9" borderId="10" applyAlignment="1" pivotButton="0" quotePrefix="0" xfId="0">
      <alignment horizontal="center" vertical="center"/>
    </xf>
    <xf numFmtId="165" fontId="10" fillId="9" borderId="10" applyAlignment="1" pivotButton="0" quotePrefix="0" xfId="0">
      <alignment horizontal="center" vertical="center"/>
    </xf>
    <xf numFmtId="0" fontId="10" fillId="9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0" borderId="12" applyAlignment="1" pivotButton="0" quotePrefix="0" xfId="0">
      <alignment horizontal="left" vertical="center"/>
    </xf>
    <xf numFmtId="3" fontId="12" fillId="0" borderId="13" applyAlignment="1" applyProtection="1" pivotButton="0" quotePrefix="0" xfId="0">
      <alignment horizontal="center" vertical="center"/>
      <protection locked="0" hidden="0"/>
    </xf>
    <xf numFmtId="164" fontId="12" fillId="0" borderId="13" applyAlignment="1" applyProtection="1" pivotButton="0" quotePrefix="0" xfId="0">
      <alignment horizontal="right" vertical="center"/>
      <protection locked="0" hidden="0"/>
    </xf>
    <xf numFmtId="164" fontId="12" fillId="0" borderId="12" applyAlignment="1" pivotButton="0" quotePrefix="0" xfId="0">
      <alignment horizontal="right" vertical="center"/>
    </xf>
    <xf numFmtId="10" fontId="16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3" fontId="14" fillId="2" borderId="14" applyAlignment="1" pivotButton="0" quotePrefix="0" xfId="0">
      <alignment horizontal="center" vertical="center"/>
    </xf>
    <xf numFmtId="0" fontId="0" fillId="2" borderId="14" pivotButton="0" quotePrefix="0" xfId="0"/>
    <xf numFmtId="164" fontId="14" fillId="3" borderId="14" applyAlignment="1" pivotButton="0" quotePrefix="0" xfId="0">
      <alignment horizontal="right" vertical="center"/>
    </xf>
    <xf numFmtId="9" fontId="14" fillId="2" borderId="14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19" fillId="10" borderId="0" applyAlignment="1" pivotButton="0" quotePrefix="0" xfId="0">
      <alignment horizontal="left" vertical="center"/>
    </xf>
    <xf numFmtId="0" fontId="10" fillId="7" borderId="15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20" fillId="7" borderId="16" applyAlignment="1" pivotButton="0" quotePrefix="0" xfId="0">
      <alignment horizontal="center" vertical="center"/>
    </xf>
    <xf numFmtId="0" fontId="20" fillId="9" borderId="16" applyAlignment="1" pivotButton="0" quotePrefix="0" xfId="0">
      <alignment horizontal="center" vertical="center"/>
    </xf>
    <xf numFmtId="0" fontId="0" fillId="11" borderId="0" pivotButton="0" quotePrefix="0" xfId="0"/>
    <xf numFmtId="0" fontId="21" fillId="7" borderId="17" applyAlignment="1" pivotButton="0" quotePrefix="0" xfId="0">
      <alignment horizontal="center" vertical="center"/>
    </xf>
    <xf numFmtId="0" fontId="22" fillId="12" borderId="17" applyAlignment="1" pivotButton="0" quotePrefix="0" xfId="0">
      <alignment horizontal="center" vertical="center"/>
    </xf>
    <xf numFmtId="0" fontId="23" fillId="13" borderId="17" applyAlignment="1" pivotButton="0" quotePrefix="0" xfId="0">
      <alignment horizontal="center" vertical="center"/>
    </xf>
    <xf numFmtId="0" fontId="24" fillId="13" borderId="17" applyAlignment="1" pivotButton="0" quotePrefix="0" xfId="0">
      <alignment horizontal="center" vertical="center"/>
    </xf>
    <xf numFmtId="0" fontId="10" fillId="9" borderId="15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</cellXfs>
  <cellStyles count="1">
    <cellStyle name="Normal" xfId="0" builtinId="0" hidden="0"/>
  </cellStyles>
  <dxfs count="6">
    <dxf>
      <font>
        <color rgb="00000000"/>
      </font>
      <fill>
        <patternFill patternType="solid">
          <fgColor rgb="00D6F5E3"/>
        </patternFill>
      </fill>
    </dxf>
    <dxf>
      <font>
        <color rgb="00000000"/>
      </font>
      <fill>
        <patternFill patternType="solid">
          <fgColor rgb="00FFFBD0"/>
        </patternFill>
      </fill>
    </dxf>
    <dxf>
      <font>
        <color rgb="00000000"/>
      </font>
      <fill>
        <patternFill patternType="solid">
          <fgColor rgb="00FFECEC"/>
        </patternFill>
      </fill>
    </dxf>
    <dxf>
      <font>
        <b val="1"/>
        <color rgb="00FFFFFF"/>
        <sz val="12"/>
      </font>
      <fill>
        <patternFill patternType="solid">
          <fgColor rgb="00009B3A"/>
        </patternFill>
      </fill>
    </dxf>
    <dxf>
      <font>
        <b val="1"/>
        <color rgb="00000000"/>
        <sz val="12"/>
      </font>
      <fill>
        <patternFill patternType="solid">
          <fgColor rgb="00C8A400"/>
        </patternFill>
      </fill>
    </dxf>
    <dxf>
      <font>
        <b val="1"/>
        <color rgb="00FFFFFF"/>
        <sz val="12"/>
      </font>
      <fill>
        <patternFill patternType="solid">
          <fgColor rgb="008B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ABC — PRIMEIRA — Pareto: V.T. por Produto &amp; Curva % Acumulado</a:t>
            </a:r>
          </a:p>
        </rich>
      </tx>
    </title>
    <plotArea>
      <barChart>
        <barDir val="col"/>
        <grouping val="stacked"/>
        <ser>
          <idx val="0"/>
          <order val="0"/>
          <tx>
            <v>Classe A</v>
          </tx>
          <spPr>
            <a:solidFill>
              <a:srgbClr val="009B3A"/>
            </a:solidFill>
            <a:ln w="6000">
              <a:solidFill>
                <a:srgbClr val="006B28"/>
              </a:solidFill>
              <a:prstDash val="solid"/>
            </a:ln>
          </spPr>
          <cat>
            <numRef>
              <f>'🟢 Primeira'!$P$12:$P$21</f>
            </numRef>
          </cat>
          <val>
            <numRef>
              <f>'🟢 Primeira'!$Q$12:$Q$21</f>
            </numRef>
          </val>
        </ser>
        <ser>
          <idx val="1"/>
          <order val="1"/>
          <tx>
            <v>Classe B</v>
          </tx>
          <spPr>
            <a:solidFill>
              <a:srgbClr val="FFD700"/>
            </a:solidFill>
            <a:ln w="6000">
              <a:solidFill>
                <a:srgbClr val="C8A400"/>
              </a:solidFill>
              <a:prstDash val="solid"/>
            </a:ln>
          </spPr>
          <cat>
            <numRef>
              <f>'🟢 Primeira'!$P$12:$P$21</f>
            </numRef>
          </cat>
          <val>
            <numRef>
              <f>'🟢 Primeira'!$R$12:$R$21</f>
            </numRef>
          </val>
        </ser>
        <ser>
          <idx val="2"/>
          <order val="2"/>
          <tx>
            <v>Classe C</v>
          </tx>
          <spPr>
            <a:solidFill>
              <a:srgbClr val="CC0000"/>
            </a:solidFill>
            <a:ln w="6000">
              <a:solidFill>
                <a:srgbClr val="8B0000"/>
              </a:solidFill>
              <a:prstDash val="solid"/>
            </a:ln>
          </spPr>
          <cat>
            <numRef>
              <f>'🟢 Primeira'!$P$12:$P$21</f>
            </numRef>
          </cat>
          <val>
            <numRef>
              <f>'🟢 Primeira'!$S$12:$S$21</f>
            </numRef>
          </val>
        </ser>
        <dLbls>
          <numFmt formatCode="R$ #,##0"/>
          <showVal val="1"/>
          <showCatName val="0"/>
          <showSerName val="0"/>
        </dLbls>
        <gapWidth val="150"/>
        <axId val="10"/>
        <axId val="100"/>
      </barChart>
      <lineChart>
        <grouping val="standard"/>
        <ser>
          <idx val="3"/>
          <order val="3"/>
          <tx>
            <v>% Acumulado</v>
          </tx>
          <spPr>
            <a:ln w="28000">
              <a:solidFill>
                <a:srgbClr val="0A0A0A"/>
              </a:solidFill>
              <a:prstDash val="solid"/>
            </a:ln>
          </spPr>
          <marker>
            <symbol val="circle"/>
            <size val="5"/>
            <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'🟢 Primeira'!$P$12:$P$21</f>
            </numRef>
          </cat>
          <val>
            <numRef>
              <f>'🟢 Primeira'!$T$12:$T$21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Produtos ordenados por V.T. decrescente (nome + classe no rotulo)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numFmt formatCode="R$ #,##0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Acumulado (Curva Pareto)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ABC — ABA 01 — Pareto: V.T. por Produto &amp; Curva % Acumulado</a:t>
            </a:r>
          </a:p>
        </rich>
      </tx>
    </title>
    <plotArea>
      <barChart>
        <barDir val="col"/>
        <grouping val="stacked"/>
        <ser>
          <idx val="0"/>
          <order val="0"/>
          <tx>
            <v>Classe A</v>
          </tx>
          <spPr>
            <a:solidFill>
              <a:srgbClr val="009B3A"/>
            </a:solidFill>
            <a:ln w="6000">
              <a:solidFill>
                <a:srgbClr val="006B28"/>
              </a:solidFill>
              <a:prstDash val="solid"/>
            </a:ln>
          </spPr>
          <cat>
            <numRef>
              <f>'🟡 01'!$P$12:$P$31</f>
            </numRef>
          </cat>
          <val>
            <numRef>
              <f>'🟡 01'!$Q$12:$Q$31</f>
            </numRef>
          </val>
        </ser>
        <ser>
          <idx val="1"/>
          <order val="1"/>
          <tx>
            <v>Classe B</v>
          </tx>
          <spPr>
            <a:solidFill>
              <a:srgbClr val="FFD700"/>
            </a:solidFill>
            <a:ln w="6000">
              <a:solidFill>
                <a:srgbClr val="C8A400"/>
              </a:solidFill>
              <a:prstDash val="solid"/>
            </a:ln>
          </spPr>
          <cat>
            <numRef>
              <f>'🟡 01'!$P$12:$P$31</f>
            </numRef>
          </cat>
          <val>
            <numRef>
              <f>'🟡 01'!$R$12:$R$31</f>
            </numRef>
          </val>
        </ser>
        <ser>
          <idx val="2"/>
          <order val="2"/>
          <tx>
            <v>Classe C</v>
          </tx>
          <spPr>
            <a:solidFill>
              <a:srgbClr val="CC0000"/>
            </a:solidFill>
            <a:ln w="6000">
              <a:solidFill>
                <a:srgbClr val="8B0000"/>
              </a:solidFill>
              <a:prstDash val="solid"/>
            </a:ln>
          </spPr>
          <cat>
            <numRef>
              <f>'🟡 01'!$P$12:$P$31</f>
            </numRef>
          </cat>
          <val>
            <numRef>
              <f>'🟡 01'!$S$12:$S$31</f>
            </numRef>
          </val>
        </ser>
        <dLbls>
          <numFmt formatCode="R$ #,##0"/>
          <showVal val="1"/>
          <showCatName val="0"/>
          <showSerName val="0"/>
        </dLbls>
        <gapWidth val="150"/>
        <axId val="10"/>
        <axId val="100"/>
      </barChart>
      <lineChart>
        <grouping val="standard"/>
        <ser>
          <idx val="3"/>
          <order val="3"/>
          <tx>
            <v>% Acumulado</v>
          </tx>
          <spPr>
            <a:ln w="28000">
              <a:solidFill>
                <a:srgbClr val="0A0A0A"/>
              </a:solidFill>
              <a:prstDash val="solid"/>
            </a:ln>
          </spPr>
          <marker>
            <symbol val="circle"/>
            <size val="5"/>
            <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'🟡 01'!$P$12:$P$31</f>
            </numRef>
          </cat>
          <val>
            <numRef>
              <f>'🟡 01'!$T$12:$T$31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Produtos ordenados por V.T. decrescente (nome + classe no rotulo)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numFmt formatCode="R$ #,##0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Acumulado (Curva Pareto)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ABC — ABA 02 — Pareto: V.T. por Produto &amp; Curva % Acumulado</a:t>
            </a:r>
          </a:p>
        </rich>
      </tx>
    </title>
    <plotArea>
      <barChart>
        <barDir val="col"/>
        <grouping val="stacked"/>
        <ser>
          <idx val="0"/>
          <order val="0"/>
          <tx>
            <v>Classe A</v>
          </tx>
          <spPr>
            <a:solidFill>
              <a:srgbClr val="009B3A"/>
            </a:solidFill>
            <a:ln w="6000">
              <a:solidFill>
                <a:srgbClr val="006B28"/>
              </a:solidFill>
              <a:prstDash val="solid"/>
            </a:ln>
          </spPr>
          <cat>
            <numRef>
              <f>'🔴 02'!$P$12:$P$41</f>
            </numRef>
          </cat>
          <val>
            <numRef>
              <f>'🔴 02'!$Q$12:$Q$41</f>
            </numRef>
          </val>
        </ser>
        <ser>
          <idx val="1"/>
          <order val="1"/>
          <tx>
            <v>Classe B</v>
          </tx>
          <spPr>
            <a:solidFill>
              <a:srgbClr val="FFD700"/>
            </a:solidFill>
            <a:ln w="6000">
              <a:solidFill>
                <a:srgbClr val="C8A400"/>
              </a:solidFill>
              <a:prstDash val="solid"/>
            </a:ln>
          </spPr>
          <cat>
            <numRef>
              <f>'🔴 02'!$P$12:$P$41</f>
            </numRef>
          </cat>
          <val>
            <numRef>
              <f>'🔴 02'!$R$12:$R$41</f>
            </numRef>
          </val>
        </ser>
        <ser>
          <idx val="2"/>
          <order val="2"/>
          <tx>
            <v>Classe C</v>
          </tx>
          <spPr>
            <a:solidFill>
              <a:srgbClr val="CC0000"/>
            </a:solidFill>
            <a:ln w="6000">
              <a:solidFill>
                <a:srgbClr val="8B0000"/>
              </a:solidFill>
              <a:prstDash val="solid"/>
            </a:ln>
          </spPr>
          <cat>
            <numRef>
              <f>'🔴 02'!$P$12:$P$41</f>
            </numRef>
          </cat>
          <val>
            <numRef>
              <f>'🔴 02'!$S$12:$S$41</f>
            </numRef>
          </val>
        </ser>
        <dLbls>
          <numFmt formatCode="R$ #,##0"/>
          <showVal val="1"/>
          <showCatName val="0"/>
          <showSerName val="0"/>
        </dLbls>
        <gapWidth val="150"/>
        <axId val="10"/>
        <axId val="100"/>
      </barChart>
      <lineChart>
        <grouping val="standard"/>
        <ser>
          <idx val="3"/>
          <order val="3"/>
          <tx>
            <v>% Acumulado</v>
          </tx>
          <spPr>
            <a:ln w="28000">
              <a:solidFill>
                <a:srgbClr val="0A0A0A"/>
              </a:solidFill>
              <a:prstDash val="solid"/>
            </a:ln>
          </spPr>
          <marker>
            <symbol val="circle"/>
            <size val="5"/>
            <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'🔴 02'!$P$12:$P$41</f>
            </numRef>
          </cat>
          <val>
            <numRef>
              <f>'🔴 02'!$T$12:$T$41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Produtos ordenados por V.T. decrescente (nome + classe no rotulo)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numFmt formatCode="R$ #,##0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Acumulado (Curva Pareto)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Curva ABC Reggae</author>
  </authors>
  <commentList>
    <comment ref="B9" authorId="0" shapeId="0">
      <text>
        <t>EDITAVEL: Limite para Classe A
Padrao: 80% | Formato: decimal (ex: 0,80)
Intervalo valido: entre 0,50 e 0,99</t>
      </text>
    </comment>
    <comment ref="B10" authorId="0" shapeId="0">
      <text>
        <t>EDITAVEL: Limite para Classe B
Padrao: 95% | Formato: decimal (ex: 0,80)
Intervalo valido: entre 0,50 e 0,99</t>
      </text>
    </comment>
    <comment ref="E12" authorId="0" shapeId="0">
      <text>
        <t>EDITAVEL — Quantidade do produto
Altere este valor e pressione Enter.
V.T. (col G) e a classificacao ABC atualizam automaticamente.</t>
      </text>
    </comment>
    <comment ref="F12" authorId="0" shapeId="0">
      <text>
        <t>EDITAVEL — Custo Unitario do produto
Altere este valor e pressione Enter.
V.T. (col G) e a classificacao ABC atualizam automaticamente.</t>
      </text>
    </comment>
  </commentList>
</comments>
</file>

<file path=xl/comments/comment2.xml><?xml version="1.0" encoding="utf-8"?>
<comments xmlns="http://schemas.openxmlformats.org/spreadsheetml/2006/main">
  <authors>
    <author>Curva ABC Reggae</author>
  </authors>
  <commentList>
    <comment ref="B9" authorId="0" shapeId="0">
      <text>
        <t>EDITAVEL: Limite para Classe A
Padrao: 80% | Formato: decimal (ex: 0,80)
Intervalo valido: entre 0,50 e 0,99</t>
      </text>
    </comment>
    <comment ref="B10" authorId="0" shapeId="0">
      <text>
        <t>EDITAVEL: Limite para Classe B
Padrao: 95% | Formato: decimal (ex: 0,80)
Intervalo valido: entre 0,50 e 0,99</t>
      </text>
    </comment>
    <comment ref="E12" authorId="0" shapeId="0">
      <text>
        <t>EDITAVEL — Quantidade do produto
Altere este valor e pressione Enter.
V.T. (col G) e a classificacao ABC atualizam automaticamente.</t>
      </text>
    </comment>
    <comment ref="F12" authorId="0" shapeId="0">
      <text>
        <t>EDITAVEL — Custo Unitario do produto
Altere este valor e pressione Enter.
V.T. (col G) e a classificacao ABC atualizam automaticamente.</t>
      </text>
    </comment>
  </commentList>
</comments>
</file>

<file path=xl/comments/comment3.xml><?xml version="1.0" encoding="utf-8"?>
<comments xmlns="http://schemas.openxmlformats.org/spreadsheetml/2006/main">
  <authors>
    <author>Curva ABC Reggae</author>
  </authors>
  <commentList>
    <comment ref="B9" authorId="0" shapeId="0">
      <text>
        <t>EDITAVEL: Limite para Classe A
Padrao: 80% | Formato: decimal (ex: 0,80)
Intervalo valido: entre 0,50 e 0,99</t>
      </text>
    </comment>
    <comment ref="B10" authorId="0" shapeId="0">
      <text>
        <t>EDITAVEL: Limite para Classe B
Padrao: 95% | Formato: decimal (ex: 0,80)
Intervalo valido: entre 0,50 e 0,99</t>
      </text>
    </comment>
    <comment ref="E12" authorId="0" shapeId="0">
      <text>
        <t>EDITAVEL — Quantidade do produto
Altere este valor e pressione Enter.
V.T. (col G) e a classificacao ABC atualizam automaticamente.</t>
      </text>
    </comment>
    <comment ref="F12" authorId="0" shapeId="0">
      <text>
        <t>EDITAVEL — Custo Unitario do produto
Altere este valor e pressione Enter.
V.T. (col G) e a classificacao ABC atualizam automaticamente.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1224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1224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1224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006B28"/>
    <outlinePr summaryBelow="1" summaryRight="1"/>
    <pageSetUpPr/>
  </sheetPr>
  <dimension ref="A1:T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28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2" customWidth="1" min="10" max="10"/>
    <col width="10" customWidth="1" min="11" max="11"/>
    <col width="16" customWidth="1" min="12" max="12"/>
    <col width="10" customWidth="1" min="13" max="13"/>
    <col width="10" customWidth="1" min="14" max="14"/>
    <col hidden="1" width="22" customWidth="1" min="16" max="16"/>
    <col hidden="1" width="12" customWidth="1" min="17" max="17"/>
    <col hidden="1" width="12" customWidth="1" min="18" max="18"/>
    <col hidden="1" width="12" customWidth="1" min="19" max="19"/>
    <col hidden="1" width="12" customWidth="1" min="20" max="20"/>
  </cols>
  <sheetData>
    <row r="1" ht="52" customHeight="1">
      <c r="A1" s="1" t="inlineStr">
        <is>
          <t xml:space="preserve">  CURVA ABC — PRIMEIRA  —  Curva ABC de Pareto | Reggae Dashboard</t>
        </is>
      </c>
      <c r="J1" s="2" t="inlineStr">
        <is>
          <t>Classe A = ate 80%   |   Classe B = 80-95%   |   Classe C = 95-100%</t>
        </is>
      </c>
      <c r="O1" s="3" t="n"/>
    </row>
    <row r="2" ht="8" customHeight="1">
      <c r="A2" s="4" t="n"/>
      <c r="B2" s="3" t="n"/>
      <c r="C2" s="5" t="n"/>
      <c r="D2" s="6" t="n"/>
      <c r="E2" s="4" t="n"/>
      <c r="F2" s="3" t="n"/>
      <c r="G2" s="5" t="n"/>
      <c r="H2" s="6" t="n"/>
      <c r="I2" s="4" t="n"/>
      <c r="J2" s="3" t="n"/>
      <c r="K2" s="5" t="n"/>
      <c r="L2" s="6" t="n"/>
      <c r="M2" s="4" t="n"/>
      <c r="N2" s="3" t="n"/>
    </row>
    <row r="3" ht="24" customHeight="1">
      <c r="A3" s="7" t="inlineStr">
        <is>
          <t>VALOR TOTAL</t>
        </is>
      </c>
      <c r="B3" s="8" t="n"/>
      <c r="C3" s="9" t="inlineStr">
        <is>
          <t>CLASSE A (VT)</t>
        </is>
      </c>
      <c r="D3" s="8" t="n"/>
      <c r="E3" s="10" t="inlineStr">
        <is>
          <t>CLASSE B (VT)</t>
        </is>
      </c>
      <c r="F3" s="8" t="n"/>
      <c r="G3" s="9" t="inlineStr">
        <is>
          <t>MAIOR V.T.</t>
        </is>
      </c>
      <c r="H3" s="8" t="n"/>
      <c r="I3" s="11" t="n"/>
    </row>
    <row r="4" ht="30" customHeight="1">
      <c r="A4" s="12">
        <f>SUM($G$12:$G$21)</f>
        <v/>
      </c>
      <c r="B4" s="13" t="n"/>
      <c r="C4" s="14">
        <f>SUMIF($A$12:$A$21,"A",$G$12:$G$21)</f>
        <v/>
      </c>
      <c r="D4" s="13" t="n"/>
      <c r="E4" s="15">
        <f>SUMIF($A$12:$A$21,"B",$G$12:$G$21)</f>
        <v/>
      </c>
      <c r="F4" s="13" t="n"/>
      <c r="G4" s="16">
        <f>MAX($G$12:$G$21)</f>
        <v/>
      </c>
      <c r="H4" s="13" t="n"/>
      <c r="I4" s="17" t="n"/>
    </row>
    <row r="5" ht="24" customHeight="1">
      <c r="A5" s="18" t="inlineStr">
        <is>
          <t>TOTAL DE ITENS</t>
        </is>
      </c>
      <c r="B5" s="13" t="n"/>
      <c r="C5" s="19" t="inlineStr">
        <is>
          <t>% ITENS CLASSE A</t>
        </is>
      </c>
      <c r="D5" s="13" t="n"/>
      <c r="E5" s="19" t="inlineStr">
        <is>
          <t>CLASSE C (VT)</t>
        </is>
      </c>
      <c r="F5" s="13" t="n"/>
      <c r="G5" s="19" t="inlineStr">
        <is>
          <t>STATUS</t>
        </is>
      </c>
      <c r="H5" s="13" t="n"/>
      <c r="I5" s="17" t="n"/>
    </row>
    <row r="6" ht="30" customHeight="1">
      <c r="A6" s="20">
        <f>COUNTA($D$12:$D$21)</f>
        <v/>
      </c>
      <c r="B6" s="21" t="n"/>
      <c r="C6" s="22">
        <f>IFERROR(COUNTIF($A$12:$A$21,"A")/COUNTA($D$12:$D$21),0)</f>
        <v/>
      </c>
      <c r="D6" s="21" t="n"/>
      <c r="E6" s="23">
        <f>SUMIF($A$12:$A$21,"C",$G$12:$G$21)</f>
        <v/>
      </c>
      <c r="F6" s="21" t="n"/>
      <c r="G6" s="24">
        <f>IF(IFERROR(MAX($I$12:$I$21),0)&gt;1.001,"VERIFICAR","OK")</f>
        <v/>
      </c>
      <c r="H6" s="21" t="n"/>
      <c r="I6" s="25" t="n"/>
    </row>
    <row r="7" ht="8" customHeight="1">
      <c r="A7" s="5" t="n"/>
      <c r="B7" s="3" t="n"/>
      <c r="C7" s="4" t="n"/>
      <c r="D7" s="6" t="n"/>
      <c r="E7" s="5" t="n"/>
      <c r="F7" s="3" t="n"/>
      <c r="G7" s="4" t="n"/>
      <c r="H7" s="6" t="n"/>
      <c r="I7" s="5" t="n"/>
      <c r="J7" s="3" t="n"/>
      <c r="K7" s="4" t="n"/>
      <c r="L7" s="6" t="n"/>
      <c r="M7" s="5" t="n"/>
      <c r="N7" s="3" t="n"/>
    </row>
    <row r="8" ht="18" customHeight="1">
      <c r="A8" s="26" t="inlineStr">
        <is>
          <t xml:space="preserve">  Edite somente: Qtd. (col E) e Custo Unit. (col F) | Limite A → celula B9  |  Limite B → celula B10 | V.T. e ABC recalculam automaticamente</t>
        </is>
      </c>
      <c r="K8" s="27" t="inlineStr">
        <is>
          <t>RESUMO POR CLASSE</t>
        </is>
      </c>
    </row>
    <row r="9" ht="24" customHeight="1">
      <c r="A9" s="28" t="inlineStr">
        <is>
          <t>Limite A (Classe A):</t>
        </is>
      </c>
      <c r="B9" s="29" t="n">
        <v>0.8</v>
      </c>
      <c r="K9" s="30" t="inlineStr">
        <is>
          <t>A</t>
        </is>
      </c>
      <c r="L9" s="31">
        <f>SUMIF($A$12:$A$21,"A",$G$12:$G$21)</f>
        <v/>
      </c>
      <c r="M9" s="32">
        <f>IFERROR(L9/SUM($G$12:$G$21),0)</f>
        <v/>
      </c>
      <c r="N9" s="33">
        <f>COUNTIF($A$12:$A$21,"A")</f>
        <v/>
      </c>
    </row>
    <row r="10" ht="24" customHeight="1">
      <c r="A10" s="28" t="inlineStr">
        <is>
          <t>Limite B (Classe B):</t>
        </is>
      </c>
      <c r="B10" s="34" t="n">
        <v>0.95</v>
      </c>
      <c r="K10" s="35" t="inlineStr">
        <is>
          <t>B</t>
        </is>
      </c>
      <c r="L10" s="36">
        <f>SUMIF($A$12:$A$21,"B",$G$12:$G$21)</f>
        <v/>
      </c>
      <c r="M10" s="37">
        <f>IFERROR(L10/SUM($G$12:$G$21),0)</f>
        <v/>
      </c>
      <c r="N10" s="38">
        <f>COUNTIF($A$12:$A$21,"B")</f>
        <v/>
      </c>
    </row>
    <row r="11" ht="26" customHeight="1">
      <c r="A11" s="39" t="inlineStr">
        <is>
          <t>ABC</t>
        </is>
      </c>
      <c r="B11" s="40" t="inlineStr">
        <is>
          <t>SKU</t>
        </is>
      </c>
      <c r="C11" s="40" t="inlineStr">
        <is>
          <t>Cod.</t>
        </is>
      </c>
      <c r="D11" s="41" t="inlineStr">
        <is>
          <t>Descricao do Produto</t>
        </is>
      </c>
      <c r="E11" s="42" t="inlineStr">
        <is>
          <t>Qtd.</t>
        </is>
      </c>
      <c r="F11" s="42" t="inlineStr">
        <is>
          <t>Custo Unit.(R$)</t>
        </is>
      </c>
      <c r="G11" s="39" t="inlineStr">
        <is>
          <t>V.T. (R$)</t>
        </is>
      </c>
      <c r="H11" s="40" t="inlineStr">
        <is>
          <t>% Individual</t>
        </is>
      </c>
      <c r="I11" s="40" t="inlineStr">
        <is>
          <t>% Acumulado</t>
        </is>
      </c>
      <c r="K11" s="43" t="inlineStr">
        <is>
          <t>C</t>
        </is>
      </c>
      <c r="L11" s="44">
        <f>SUMIF($A$12:$A$21,"C",$G$12:$G$21)</f>
        <v/>
      </c>
      <c r="M11" s="45">
        <f>IFERROR(L11/SUM($G$12:$G$21),0)</f>
        <v/>
      </c>
      <c r="N11" s="46">
        <f>COUNTIF($A$12:$A$21,"C")</f>
        <v/>
      </c>
    </row>
    <row r="12" ht="18" customHeight="1">
      <c r="A12" s="47">
        <f>IF($I12&lt;=$B$9,"A",IF($I12&lt;=$B$10,"B","C"))</f>
        <v/>
      </c>
      <c r="B12" s="48" t="inlineStr">
        <is>
          <t>SKU01</t>
        </is>
      </c>
      <c r="C12" s="48" t="n">
        <v>3</v>
      </c>
      <c r="D12" s="49" t="inlineStr">
        <is>
          <t>Servidor Backup</t>
        </is>
      </c>
      <c r="E12" s="50" t="n">
        <v>2</v>
      </c>
      <c r="F12" s="51" t="n">
        <v>25000</v>
      </c>
      <c r="G12" s="52">
        <f>IFERROR(E12*F12,0)</f>
        <v/>
      </c>
      <c r="H12" s="53">
        <f>IFERROR(G12/SUM($G$12:$G$21),0)</f>
        <v/>
      </c>
      <c r="I12" s="53">
        <f>IFERROR(SUMIF($G$12:$G$21,"&gt;="&amp;G12,$G$12:$G$21)/SUM($G$12:$G$21),0)</f>
        <v/>
      </c>
      <c r="P12" t="inlineStr">
        <is>
          <t>A | SKU01 | Servidor Backup</t>
        </is>
      </c>
      <c r="Q12" t="n">
        <v>50000</v>
      </c>
      <c r="R12" t="n">
        <v>0</v>
      </c>
      <c r="S12" t="n">
        <v>0</v>
      </c>
      <c r="T12" t="n">
        <v>0.37781</v>
      </c>
    </row>
    <row r="13" ht="18" customHeight="1">
      <c r="A13" s="47">
        <f>IF($I13&lt;=$B$9,"A",IF($I13&lt;=$B$10,"B","C"))</f>
        <v/>
      </c>
      <c r="B13" s="48" t="inlineStr">
        <is>
          <t>SKU02</t>
        </is>
      </c>
      <c r="C13" s="48" t="n">
        <v>5</v>
      </c>
      <c r="D13" s="49" t="inlineStr">
        <is>
          <t>Monitor 27" 4K</t>
        </is>
      </c>
      <c r="E13" s="50" t="n">
        <v>10</v>
      </c>
      <c r="F13" s="51" t="n">
        <v>3000</v>
      </c>
      <c r="G13" s="52">
        <f>IFERROR(E13*F13,0)</f>
        <v/>
      </c>
      <c r="H13" s="53">
        <f>IFERROR(G13/SUM($G$12:$G$21),0)</f>
        <v/>
      </c>
      <c r="I13" s="53">
        <f>IFERROR(SUMIF($G$12:$G$21,"&gt;="&amp;G13,$G$12:$G$21)/SUM($G$12:$G$21),0)</f>
        <v/>
      </c>
      <c r="P13" t="inlineStr">
        <is>
          <t>A | SKU02 | Monitor 27" 4K</t>
        </is>
      </c>
      <c r="Q13" t="n">
        <v>30000</v>
      </c>
      <c r="R13" t="n">
        <v>0</v>
      </c>
      <c r="S13" t="n">
        <v>0</v>
      </c>
      <c r="T13" t="n">
        <v>0.6045</v>
      </c>
    </row>
    <row r="14" ht="18" customHeight="1">
      <c r="A14" s="47">
        <f>IF($I14&lt;=$B$9,"A",IF($I14&lt;=$B$10,"B","C"))</f>
        <v/>
      </c>
      <c r="B14" s="48" t="inlineStr">
        <is>
          <t>SKU03</t>
        </is>
      </c>
      <c r="C14" s="48" t="n">
        <v>9</v>
      </c>
      <c r="D14" s="49" t="inlineStr">
        <is>
          <t>Notebook Administrativo</t>
        </is>
      </c>
      <c r="E14" s="50" t="n">
        <v>6</v>
      </c>
      <c r="F14" s="51" t="n">
        <v>4500</v>
      </c>
      <c r="G14" s="52">
        <f>IFERROR(E14*F14,0)</f>
        <v/>
      </c>
      <c r="H14" s="53">
        <f>IFERROR(G14/SUM($G$12:$G$21),0)</f>
        <v/>
      </c>
      <c r="I14" s="53">
        <f>IFERROR(SUMIF($G$12:$G$21,"&gt;="&amp;G14,$G$12:$G$21)/SUM($G$12:$G$21),0)</f>
        <v/>
      </c>
      <c r="P14" t="inlineStr">
        <is>
          <t>B | SKU03 | Notebook Administrat</t>
        </is>
      </c>
      <c r="Q14" t="n">
        <v>0</v>
      </c>
      <c r="R14" t="n">
        <v>27000</v>
      </c>
      <c r="S14" t="n">
        <v>0</v>
      </c>
      <c r="T14" t="n">
        <v>0.80852</v>
      </c>
    </row>
    <row r="15" ht="18" customHeight="1">
      <c r="A15" s="47">
        <f>IF($I15&lt;=$B$9,"A",IF($I15&lt;=$B$10,"B","C"))</f>
        <v/>
      </c>
      <c r="B15" s="48" t="inlineStr">
        <is>
          <t>SKU04</t>
        </is>
      </c>
      <c r="C15" s="48" t="n">
        <v>1</v>
      </c>
      <c r="D15" s="49" t="inlineStr">
        <is>
          <t>Nobreak Profissional</t>
        </is>
      </c>
      <c r="E15" s="50" t="n">
        <v>5</v>
      </c>
      <c r="F15" s="51" t="n">
        <v>2000</v>
      </c>
      <c r="G15" s="52">
        <f>IFERROR(E15*F15,0)</f>
        <v/>
      </c>
      <c r="H15" s="53">
        <f>IFERROR(G15/SUM($G$12:$G$21),0)</f>
        <v/>
      </c>
      <c r="I15" s="53">
        <f>IFERROR(SUMIF($G$12:$G$21,"&gt;="&amp;G15,$G$12:$G$21)/SUM($G$12:$G$21),0)</f>
        <v/>
      </c>
      <c r="P15" t="inlineStr">
        <is>
          <t>B | SKU04 | Nobreak Profissional</t>
        </is>
      </c>
      <c r="Q15" t="n">
        <v>0</v>
      </c>
      <c r="R15" t="n">
        <v>10000</v>
      </c>
      <c r="S15" t="n">
        <v>0</v>
      </c>
      <c r="T15" t="n">
        <v>0.88409</v>
      </c>
    </row>
    <row r="16" ht="18" customHeight="1">
      <c r="A16" s="47">
        <f>IF($I16&lt;=$B$9,"A",IF($I16&lt;=$B$10,"B","C"))</f>
        <v/>
      </c>
      <c r="B16" s="48" t="inlineStr">
        <is>
          <t>SKU05</t>
        </is>
      </c>
      <c r="C16" s="48" t="n">
        <v>7</v>
      </c>
      <c r="D16" s="49" t="inlineStr">
        <is>
          <t>Switch Gerenciavel</t>
        </is>
      </c>
      <c r="E16" s="50" t="n">
        <v>4</v>
      </c>
      <c r="F16" s="51" t="n">
        <v>1500</v>
      </c>
      <c r="G16" s="52">
        <f>IFERROR(E16*F16,0)</f>
        <v/>
      </c>
      <c r="H16" s="53">
        <f>IFERROR(G16/SUM($G$12:$G$21),0)</f>
        <v/>
      </c>
      <c r="I16" s="53">
        <f>IFERROR(SUMIF($G$12:$G$21,"&gt;="&amp;G16,$G$12:$G$21)/SUM($G$12:$G$21),0)</f>
        <v/>
      </c>
      <c r="P16" t="inlineStr">
        <is>
          <t>B | SKU05 | Switch Gerenciavel</t>
        </is>
      </c>
      <c r="Q16" t="n">
        <v>0</v>
      </c>
      <c r="R16" t="n">
        <v>6000</v>
      </c>
      <c r="S16" t="n">
        <v>0</v>
      </c>
      <c r="T16" t="n">
        <v>0.92942</v>
      </c>
    </row>
    <row r="17" ht="18" customHeight="1">
      <c r="A17" s="47">
        <f>IF($I17&lt;=$B$9,"A",IF($I17&lt;=$B$10,"B","C"))</f>
        <v/>
      </c>
      <c r="B17" s="48" t="inlineStr">
        <is>
          <t>SKU06</t>
        </is>
      </c>
      <c r="C17" s="48" t="n">
        <v>4</v>
      </c>
      <c r="D17" s="49" t="inlineStr">
        <is>
          <t>Mouse sem fio</t>
        </is>
      </c>
      <c r="E17" s="50" t="n">
        <v>40</v>
      </c>
      <c r="F17" s="51" t="n">
        <v>50</v>
      </c>
      <c r="G17" s="52">
        <f>IFERROR(E17*F17,0)</f>
        <v/>
      </c>
      <c r="H17" s="53">
        <f>IFERROR(G17/SUM($G$12:$G$21),0)</f>
        <v/>
      </c>
      <c r="I17" s="53">
        <f>IFERROR(SUMIF($G$12:$G$21,"&gt;="&amp;G17,$G$12:$G$21)/SUM($G$12:$G$21),0)</f>
        <v/>
      </c>
      <c r="P17" t="inlineStr">
        <is>
          <t>C | SKU08 | Teclado USB</t>
        </is>
      </c>
      <c r="Q17" t="n">
        <v>0</v>
      </c>
      <c r="R17" t="n">
        <v>0</v>
      </c>
      <c r="S17" t="n">
        <v>2800</v>
      </c>
      <c r="T17" t="n">
        <v>0.95058</v>
      </c>
    </row>
    <row r="18" ht="18" customHeight="1">
      <c r="A18" s="47">
        <f>IF($I18&lt;=$B$9,"A",IF($I18&lt;=$B$10,"B","C"))</f>
        <v/>
      </c>
      <c r="B18" s="48" t="inlineStr">
        <is>
          <t>SKU07</t>
        </is>
      </c>
      <c r="C18" s="48" t="n">
        <v>8</v>
      </c>
      <c r="D18" s="49" t="inlineStr">
        <is>
          <t>Patch Cord 1m</t>
        </is>
      </c>
      <c r="E18" s="50" t="n">
        <v>100</v>
      </c>
      <c r="F18" s="51" t="n">
        <v>15</v>
      </c>
      <c r="G18" s="52">
        <f>IFERROR(E18*F18,0)</f>
        <v/>
      </c>
      <c r="H18" s="53">
        <f>IFERROR(G18/SUM($G$12:$G$21),0)</f>
        <v/>
      </c>
      <c r="I18" s="53">
        <f>IFERROR(SUMIF($G$12:$G$21,"&gt;="&amp;G18,$G$12:$G$21)/SUM($G$12:$G$21),0)</f>
        <v/>
      </c>
      <c r="P18" t="inlineStr">
        <is>
          <t>C | SKU06 | Mouse sem fio</t>
        </is>
      </c>
      <c r="Q18" t="n">
        <v>0</v>
      </c>
      <c r="R18" t="n">
        <v>0</v>
      </c>
      <c r="S18" t="n">
        <v>2000</v>
      </c>
      <c r="T18" t="n">
        <v>0.96569</v>
      </c>
    </row>
    <row r="19" ht="18" customHeight="1">
      <c r="A19" s="47">
        <f>IF($I19&lt;=$B$9,"A",IF($I19&lt;=$B$10,"B","C"))</f>
        <v/>
      </c>
      <c r="B19" s="48" t="inlineStr">
        <is>
          <t>SKU08</t>
        </is>
      </c>
      <c r="C19" s="48" t="n">
        <v>6</v>
      </c>
      <c r="D19" s="49" t="inlineStr">
        <is>
          <t>Teclado USB</t>
        </is>
      </c>
      <c r="E19" s="50" t="n">
        <v>80</v>
      </c>
      <c r="F19" s="51" t="n">
        <v>35</v>
      </c>
      <c r="G19" s="52">
        <f>IFERROR(E19*F19,0)</f>
        <v/>
      </c>
      <c r="H19" s="53">
        <f>IFERROR(G19/SUM($G$12:$G$21),0)</f>
        <v/>
      </c>
      <c r="I19" s="53">
        <f>IFERROR(SUMIF($G$12:$G$21,"&gt;="&amp;G19,$G$12:$G$21)/SUM($G$12:$G$21),0)</f>
        <v/>
      </c>
      <c r="P19" t="inlineStr">
        <is>
          <t>C | SKU09 | Cabo Rede Cat6 (m)</t>
        </is>
      </c>
      <c r="Q19" t="n">
        <v>0</v>
      </c>
      <c r="R19" t="n">
        <v>0</v>
      </c>
      <c r="S19" t="n">
        <v>1600</v>
      </c>
      <c r="T19" t="n">
        <v>0.97778</v>
      </c>
    </row>
    <row r="20" ht="18" customHeight="1">
      <c r="A20" s="47">
        <f>IF($I20&lt;=$B$9,"A",IF($I20&lt;=$B$10,"B","C"))</f>
        <v/>
      </c>
      <c r="B20" s="48" t="inlineStr">
        <is>
          <t>SKU09</t>
        </is>
      </c>
      <c r="C20" s="48" t="n">
        <v>2</v>
      </c>
      <c r="D20" s="49" t="inlineStr">
        <is>
          <t>Cabo Rede Cat6 (m)</t>
        </is>
      </c>
      <c r="E20" s="50" t="n">
        <v>200</v>
      </c>
      <c r="F20" s="51" t="n">
        <v>8</v>
      </c>
      <c r="G20" s="52">
        <f>IFERROR(E20*F20,0)</f>
        <v/>
      </c>
      <c r="H20" s="53">
        <f>IFERROR(G20/SUM($G$12:$G$21),0)</f>
        <v/>
      </c>
      <c r="I20" s="53">
        <f>IFERROR(SUMIF($G$12:$G$21,"&gt;="&amp;G20,$G$12:$G$21)/SUM($G$12:$G$21),0)</f>
        <v/>
      </c>
      <c r="P20" t="inlineStr">
        <is>
          <t>C | SKU07 | Patch Cord 1m</t>
        </is>
      </c>
      <c r="Q20" t="n">
        <v>0</v>
      </c>
      <c r="R20" t="n">
        <v>0</v>
      </c>
      <c r="S20" t="n">
        <v>1500</v>
      </c>
      <c r="T20" t="n">
        <v>0.98912</v>
      </c>
    </row>
    <row r="21" ht="18" customHeight="1">
      <c r="A21" s="47">
        <f>IF($I21&lt;=$B$9,"A",IF($I21&lt;=$B$10,"B","C"))</f>
        <v/>
      </c>
      <c r="B21" s="48" t="inlineStr">
        <is>
          <t>SKU10</t>
        </is>
      </c>
      <c r="C21" s="48" t="n">
        <v>10</v>
      </c>
      <c r="D21" s="49" t="inlineStr">
        <is>
          <t>Mousepad Slim</t>
        </is>
      </c>
      <c r="E21" s="50" t="n">
        <v>120</v>
      </c>
      <c r="F21" s="51" t="n">
        <v>12</v>
      </c>
      <c r="G21" s="52">
        <f>IFERROR(E21*F21,0)</f>
        <v/>
      </c>
      <c r="H21" s="53">
        <f>IFERROR(G21/SUM($G$12:$G$21),0)</f>
        <v/>
      </c>
      <c r="I21" s="53">
        <f>IFERROR(SUMIF($G$12:$G$21,"&gt;="&amp;G21,$G$12:$G$21)/SUM($G$12:$G$21),0)</f>
        <v/>
      </c>
      <c r="P21" t="inlineStr">
        <is>
          <t>C | SKU10 | Mousepad Slim</t>
        </is>
      </c>
      <c r="Q21" t="n">
        <v>0</v>
      </c>
      <c r="R21" t="n">
        <v>0</v>
      </c>
      <c r="S21" t="n">
        <v>1440</v>
      </c>
      <c r="T21" t="n">
        <v>1</v>
      </c>
    </row>
    <row r="22" ht="24" customHeight="1">
      <c r="A22" s="54" t="inlineStr">
        <is>
          <t>TOTAL GERAL</t>
        </is>
      </c>
      <c r="B22" s="55" t="n"/>
      <c r="C22" s="55" t="n"/>
      <c r="D22" s="55" t="n"/>
      <c r="E22" s="56">
        <f>SUM(E12:E21)</f>
        <v/>
      </c>
      <c r="F22" s="57" t="n"/>
      <c r="G22" s="58">
        <f>SUM(G12:G21)</f>
        <v/>
      </c>
      <c r="H22" s="59" t="n">
        <v>1</v>
      </c>
      <c r="I22" s="59" t="n">
        <v>1</v>
      </c>
    </row>
    <row r="23" ht="18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B1"/>
  <mergeCells count="21">
    <mergeCell ref="C6:D6"/>
    <mergeCell ref="A22:D22"/>
    <mergeCell ref="C5:D5"/>
    <mergeCell ref="E5:F5"/>
    <mergeCell ref="J1:N1"/>
    <mergeCell ref="A6:B6"/>
    <mergeCell ref="C4:D4"/>
    <mergeCell ref="E4:F4"/>
    <mergeCell ref="A8:I8"/>
    <mergeCell ref="G6:H6"/>
    <mergeCell ref="A3:B3"/>
    <mergeCell ref="G3:H3"/>
    <mergeCell ref="E6:F6"/>
    <mergeCell ref="A5:B5"/>
    <mergeCell ref="G5:H5"/>
    <mergeCell ref="A4:B4"/>
    <mergeCell ref="G4:H4"/>
    <mergeCell ref="A1:I1"/>
    <mergeCell ref="K8:N8"/>
    <mergeCell ref="C3:D3"/>
    <mergeCell ref="E3:F3"/>
  </mergeCells>
  <conditionalFormatting sqref="A12:I21">
    <cfRule type="expression" priority="1" dxfId="0">
      <formula>$A12="A"</formula>
    </cfRule>
    <cfRule type="expression" priority="3" dxfId="1">
      <formula>$A12="B"</formula>
    </cfRule>
    <cfRule type="expression" priority="5" dxfId="2">
      <formula>$A12="C"</formula>
    </cfRule>
  </conditionalFormatting>
  <conditionalFormatting sqref="A12:A21">
    <cfRule type="expression" priority="2" dxfId="3">
      <formula>$A12="A"</formula>
    </cfRule>
    <cfRule type="expression" priority="4" dxfId="4">
      <formula>$A12="B"</formula>
    </cfRule>
    <cfRule type="expression" priority="6" dxfId="5">
      <formula>$A12="C"</formula>
    </cfRule>
  </conditionalFormatting>
  <dataValidations count="2">
    <dataValidation sqref="B9" showDropDown="0" showInputMessage="1" showErrorMessage="1" allowBlank="0" errorTitle="Valor invalido" error="Digite um decimal entre 0,50 e 0.89 (ex: 0,80 para 80%)" promptTitle="Limite da Curva ABC" prompt="Formato decimal. Ex: 0,80 = 80%" type="decimal" operator="between">
      <formula1>0.5</formula1>
      <formula2>0.89</formula2>
    </dataValidation>
    <dataValidation sqref="B10" showDropDown="0" showInputMessage="1" showErrorMessage="1" allowBlank="0" errorTitle="Valor invalido" error="Digite um decimal entre 0,50 e 0.99 (ex: 0,80 para 80%)" promptTitle="Limite da Curva ABC" prompt="Formato decimal. Ex: 0,80 = 80%" type="decimal" operator="between">
      <formula1>0.5</formula1>
      <formula2>0.99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8A400"/>
    <outlinePr summaryBelow="1" summaryRight="1"/>
    <pageSetUpPr/>
  </sheetPr>
  <dimension ref="A1:T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28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2" customWidth="1" min="10" max="10"/>
    <col width="10" customWidth="1" min="11" max="11"/>
    <col width="16" customWidth="1" min="12" max="12"/>
    <col width="10" customWidth="1" min="13" max="13"/>
    <col width="10" customWidth="1" min="14" max="14"/>
    <col hidden="1" width="22" customWidth="1" min="16" max="16"/>
    <col hidden="1" width="12" customWidth="1" min="17" max="17"/>
    <col hidden="1" width="12" customWidth="1" min="18" max="18"/>
    <col hidden="1" width="12" customWidth="1" min="19" max="19"/>
    <col hidden="1" width="12" customWidth="1" min="20" max="20"/>
  </cols>
  <sheetData>
    <row r="1" ht="52" customHeight="1">
      <c r="A1" s="1" t="inlineStr">
        <is>
          <t xml:space="preserve">  CURVA ABC — ABA 01  —  Curva ABC de Pareto | Reggae Dashboard</t>
        </is>
      </c>
      <c r="J1" s="2" t="inlineStr">
        <is>
          <t>Classe A = ate 80%   |   Classe B = 80-95%   |   Classe C = 95-100%</t>
        </is>
      </c>
      <c r="O1" s="3" t="n"/>
    </row>
    <row r="2" ht="8" customHeight="1">
      <c r="A2" s="4" t="n"/>
      <c r="B2" s="3" t="n"/>
      <c r="C2" s="5" t="n"/>
      <c r="D2" s="6" t="n"/>
      <c r="E2" s="4" t="n"/>
      <c r="F2" s="3" t="n"/>
      <c r="G2" s="5" t="n"/>
      <c r="H2" s="6" t="n"/>
      <c r="I2" s="4" t="n"/>
      <c r="J2" s="3" t="n"/>
      <c r="K2" s="5" t="n"/>
      <c r="L2" s="6" t="n"/>
      <c r="M2" s="4" t="n"/>
      <c r="N2" s="3" t="n"/>
    </row>
    <row r="3" ht="24" customHeight="1">
      <c r="A3" s="7" t="inlineStr">
        <is>
          <t>VALOR TOTAL</t>
        </is>
      </c>
      <c r="B3" s="8" t="n"/>
      <c r="C3" s="9" t="inlineStr">
        <is>
          <t>CLASSE A (VT)</t>
        </is>
      </c>
      <c r="D3" s="8" t="n"/>
      <c r="E3" s="10" t="inlineStr">
        <is>
          <t>CLASSE B (VT)</t>
        </is>
      </c>
      <c r="F3" s="8" t="n"/>
      <c r="G3" s="9" t="inlineStr">
        <is>
          <t>MAIOR V.T.</t>
        </is>
      </c>
      <c r="H3" s="8" t="n"/>
      <c r="I3" s="11" t="n"/>
    </row>
    <row r="4" ht="30" customHeight="1">
      <c r="A4" s="12">
        <f>SUM($G$12:$G$31)</f>
        <v/>
      </c>
      <c r="B4" s="13" t="n"/>
      <c r="C4" s="14">
        <f>SUMIF($A$12:$A$31,"A",$G$12:$G$31)</f>
        <v/>
      </c>
      <c r="D4" s="13" t="n"/>
      <c r="E4" s="15">
        <f>SUMIF($A$12:$A$31,"B",$G$12:$G$31)</f>
        <v/>
      </c>
      <c r="F4" s="13" t="n"/>
      <c r="G4" s="16">
        <f>MAX($G$12:$G$31)</f>
        <v/>
      </c>
      <c r="H4" s="13" t="n"/>
      <c r="I4" s="17" t="n"/>
    </row>
    <row r="5" ht="24" customHeight="1">
      <c r="A5" s="18" t="inlineStr">
        <is>
          <t>TOTAL DE ITENS</t>
        </is>
      </c>
      <c r="B5" s="13" t="n"/>
      <c r="C5" s="19" t="inlineStr">
        <is>
          <t>% ITENS CLASSE A</t>
        </is>
      </c>
      <c r="D5" s="13" t="n"/>
      <c r="E5" s="19" t="inlineStr">
        <is>
          <t>CLASSE C (VT)</t>
        </is>
      </c>
      <c r="F5" s="13" t="n"/>
      <c r="G5" s="19" t="inlineStr">
        <is>
          <t>STATUS</t>
        </is>
      </c>
      <c r="H5" s="13" t="n"/>
      <c r="I5" s="17" t="n"/>
    </row>
    <row r="6" ht="30" customHeight="1">
      <c r="A6" s="20">
        <f>COUNTA($D$12:$D$31)</f>
        <v/>
      </c>
      <c r="B6" s="21" t="n"/>
      <c r="C6" s="22">
        <f>IFERROR(COUNTIF($A$12:$A$31,"A")/COUNTA($D$12:$D$31),0)</f>
        <v/>
      </c>
      <c r="D6" s="21" t="n"/>
      <c r="E6" s="23">
        <f>SUMIF($A$12:$A$31,"C",$G$12:$G$31)</f>
        <v/>
      </c>
      <c r="F6" s="21" t="n"/>
      <c r="G6" s="24">
        <f>IF(IFERROR(MAX($I$12:$I$31),0)&gt;1.001,"VERIFICAR","OK")</f>
        <v/>
      </c>
      <c r="H6" s="21" t="n"/>
      <c r="I6" s="25" t="n"/>
    </row>
    <row r="7" ht="8" customHeight="1">
      <c r="A7" s="5" t="n"/>
      <c r="B7" s="3" t="n"/>
      <c r="C7" s="4" t="n"/>
      <c r="D7" s="6" t="n"/>
      <c r="E7" s="5" t="n"/>
      <c r="F7" s="3" t="n"/>
      <c r="G7" s="4" t="n"/>
      <c r="H7" s="6" t="n"/>
      <c r="I7" s="5" t="n"/>
      <c r="J7" s="3" t="n"/>
      <c r="K7" s="4" t="n"/>
      <c r="L7" s="6" t="n"/>
      <c r="M7" s="5" t="n"/>
      <c r="N7" s="3" t="n"/>
    </row>
    <row r="8" ht="18" customHeight="1">
      <c r="A8" s="26" t="inlineStr">
        <is>
          <t xml:space="preserve">  Edite somente: Qtd. (col E) e Custo Unit. (col F) | Limite A → celula B9  |  Limite B → celula B10 | V.T. e ABC recalculam automaticamente</t>
        </is>
      </c>
      <c r="K8" s="27" t="inlineStr">
        <is>
          <t>RESUMO POR CLASSE</t>
        </is>
      </c>
    </row>
    <row r="9" ht="24" customHeight="1">
      <c r="A9" s="28" t="inlineStr">
        <is>
          <t>Limite A (Classe A):</t>
        </is>
      </c>
      <c r="B9" s="29" t="n">
        <v>0.8</v>
      </c>
      <c r="K9" s="30" t="inlineStr">
        <is>
          <t>A</t>
        </is>
      </c>
      <c r="L9" s="31">
        <f>SUMIF($A$12:$A$31,"A",$G$12:$G$31)</f>
        <v/>
      </c>
      <c r="M9" s="32">
        <f>IFERROR(L9/SUM($G$12:$G$31),0)</f>
        <v/>
      </c>
      <c r="N9" s="33">
        <f>COUNTIF($A$12:$A$31,"A")</f>
        <v/>
      </c>
    </row>
    <row r="10" ht="24" customHeight="1">
      <c r="A10" s="28" t="inlineStr">
        <is>
          <t>Limite B (Classe B):</t>
        </is>
      </c>
      <c r="B10" s="34" t="n">
        <v>0.95</v>
      </c>
      <c r="K10" s="35" t="inlineStr">
        <is>
          <t>B</t>
        </is>
      </c>
      <c r="L10" s="36">
        <f>SUMIF($A$12:$A$31,"B",$G$12:$G$31)</f>
        <v/>
      </c>
      <c r="M10" s="37">
        <f>IFERROR(L10/SUM($G$12:$G$31),0)</f>
        <v/>
      </c>
      <c r="N10" s="38">
        <f>COUNTIF($A$12:$A$31,"B")</f>
        <v/>
      </c>
    </row>
    <row r="11" ht="26" customHeight="1">
      <c r="A11" s="39" t="inlineStr">
        <is>
          <t>ABC</t>
        </is>
      </c>
      <c r="B11" s="40" t="inlineStr">
        <is>
          <t>SKU</t>
        </is>
      </c>
      <c r="C11" s="40" t="inlineStr">
        <is>
          <t>Cod.</t>
        </is>
      </c>
      <c r="D11" s="41" t="inlineStr">
        <is>
          <t>Descricao do Produto</t>
        </is>
      </c>
      <c r="E11" s="42" t="inlineStr">
        <is>
          <t>Qtd.</t>
        </is>
      </c>
      <c r="F11" s="42" t="inlineStr">
        <is>
          <t>Custo Unit.(R$)</t>
        </is>
      </c>
      <c r="G11" s="39" t="inlineStr">
        <is>
          <t>V.T. (R$)</t>
        </is>
      </c>
      <c r="H11" s="40" t="inlineStr">
        <is>
          <t>% Individual</t>
        </is>
      </c>
      <c r="I11" s="40" t="inlineStr">
        <is>
          <t>% Acumulado</t>
        </is>
      </c>
      <c r="K11" s="43" t="inlineStr">
        <is>
          <t>C</t>
        </is>
      </c>
      <c r="L11" s="44">
        <f>SUMIF($A$12:$A$31,"C",$G$12:$G$31)</f>
        <v/>
      </c>
      <c r="M11" s="45">
        <f>IFERROR(L11/SUM($G$12:$G$31),0)</f>
        <v/>
      </c>
      <c r="N11" s="46">
        <f>COUNTIF($A$12:$A$31,"C")</f>
        <v/>
      </c>
    </row>
    <row r="12" ht="18" customHeight="1">
      <c r="A12" s="47">
        <f>IF($I12&lt;=$B$9,"A",IF($I12&lt;=$B$10,"B","C"))</f>
        <v/>
      </c>
      <c r="B12" s="48" t="inlineStr">
        <is>
          <t>SKU01</t>
        </is>
      </c>
      <c r="C12" s="48" t="n">
        <v>10</v>
      </c>
      <c r="D12" s="49" t="inlineStr">
        <is>
          <t>Notebook Executivo i7</t>
        </is>
      </c>
      <c r="E12" s="50" t="n">
        <v>35</v>
      </c>
      <c r="F12" s="51" t="n">
        <v>6500</v>
      </c>
      <c r="G12" s="52">
        <f>IFERROR(E12*F12,0)</f>
        <v/>
      </c>
      <c r="H12" s="53">
        <f>IFERROR(G12/SUM($G$12:$G$31),0)</f>
        <v/>
      </c>
      <c r="I12" s="53">
        <f>IFERROR(SUMIF($G$12:$G$31,"&gt;="&amp;G12,$G$12:$G$31)/SUM($G$12:$G$31),0)</f>
        <v/>
      </c>
      <c r="P12" t="inlineStr">
        <is>
          <t>A | SKU01 | Notebook Executivo i</t>
        </is>
      </c>
      <c r="Q12" t="n">
        <v>227500</v>
      </c>
      <c r="R12" t="n">
        <v>0</v>
      </c>
      <c r="S12" t="n">
        <v>0</v>
      </c>
      <c r="T12" t="n">
        <v>0.35308</v>
      </c>
    </row>
    <row r="13" ht="18" customHeight="1">
      <c r="A13" s="47">
        <f>IF($I13&lt;=$B$9,"A",IF($I13&lt;=$B$10,"B","C"))</f>
        <v/>
      </c>
      <c r="B13" s="48" t="inlineStr">
        <is>
          <t>SKU02</t>
        </is>
      </c>
      <c r="C13" s="48" t="n">
        <v>2</v>
      </c>
      <c r="D13" s="49" t="inlineStr">
        <is>
          <t>Servidor de Dados Pro</t>
        </is>
      </c>
      <c r="E13" s="50" t="n">
        <v>12</v>
      </c>
      <c r="F13" s="51" t="n">
        <v>15000</v>
      </c>
      <c r="G13" s="52">
        <f>IFERROR(E13*F13,0)</f>
        <v/>
      </c>
      <c r="H13" s="53">
        <f>IFERROR(G13/SUM($G$12:$G$31),0)</f>
        <v/>
      </c>
      <c r="I13" s="53">
        <f>IFERROR(SUMIF($G$12:$G$31,"&gt;="&amp;G13,$G$12:$G$31)/SUM($G$12:$G$31),0)</f>
        <v/>
      </c>
      <c r="P13" t="inlineStr">
        <is>
          <t>A | SKU02 | Servidor de Dados Pr</t>
        </is>
      </c>
      <c r="Q13" t="n">
        <v>180000</v>
      </c>
      <c r="R13" t="n">
        <v>0</v>
      </c>
      <c r="S13" t="n">
        <v>0</v>
      </c>
      <c r="T13" t="n">
        <v>0.63243</v>
      </c>
    </row>
    <row r="14" ht="18" customHeight="1">
      <c r="A14" s="47">
        <f>IF($I14&lt;=$B$9,"A",IF($I14&lt;=$B$10,"B","C"))</f>
        <v/>
      </c>
      <c r="B14" s="48" t="inlineStr">
        <is>
          <t>SKU03</t>
        </is>
      </c>
      <c r="C14" s="48" t="n">
        <v>17</v>
      </c>
      <c r="D14" s="49" t="inlineStr">
        <is>
          <t>Impressora Multifuncional</t>
        </is>
      </c>
      <c r="E14" s="50" t="n">
        <v>55</v>
      </c>
      <c r="F14" s="51" t="n">
        <v>1100</v>
      </c>
      <c r="G14" s="52">
        <f>IFERROR(E14*F14,0)</f>
        <v/>
      </c>
      <c r="H14" s="53">
        <f>IFERROR(G14/SUM($G$12:$G$31),0)</f>
        <v/>
      </c>
      <c r="I14" s="53">
        <f>IFERROR(SUMIF($G$12:$G$31,"&gt;="&amp;G14,$G$12:$G$31)/SUM($G$12:$G$31),0)</f>
        <v/>
      </c>
      <c r="P14" t="inlineStr">
        <is>
          <t>A | SKU03 | Impressora Multifunc</t>
        </is>
      </c>
      <c r="Q14" t="n">
        <v>60500</v>
      </c>
      <c r="R14" t="n">
        <v>0</v>
      </c>
      <c r="S14" t="n">
        <v>0</v>
      </c>
      <c r="T14" t="n">
        <v>0.72633</v>
      </c>
    </row>
    <row r="15" ht="18" customHeight="1">
      <c r="A15" s="47">
        <f>IF($I15&lt;=$B$9,"A",IF($I15&lt;=$B$10,"B","C"))</f>
        <v/>
      </c>
      <c r="B15" s="48" t="inlineStr">
        <is>
          <t>SKU04</t>
        </is>
      </c>
      <c r="C15" s="48" t="n">
        <v>12</v>
      </c>
      <c r="D15" s="49" t="inlineStr">
        <is>
          <t>Toner Impressora Laser</t>
        </is>
      </c>
      <c r="E15" s="50" t="n">
        <v>68</v>
      </c>
      <c r="F15" s="51" t="n">
        <v>680</v>
      </c>
      <c r="G15" s="52">
        <f>IFERROR(E15*F15,0)</f>
        <v/>
      </c>
      <c r="H15" s="53">
        <f>IFERROR(G15/SUM($G$12:$G$31),0)</f>
        <v/>
      </c>
      <c r="I15" s="53">
        <f>IFERROR(SUMIF($G$12:$G$31,"&gt;="&amp;G15,$G$12:$G$31)/SUM($G$12:$G$31),0)</f>
        <v/>
      </c>
      <c r="P15" t="inlineStr">
        <is>
          <t>A | SKU04 | Toner Impressora Las</t>
        </is>
      </c>
      <c r="Q15" t="n">
        <v>46240</v>
      </c>
      <c r="R15" t="n">
        <v>0</v>
      </c>
      <c r="S15" t="n">
        <v>0</v>
      </c>
      <c r="T15" t="n">
        <v>0.79809</v>
      </c>
    </row>
    <row r="16" ht="18" customHeight="1">
      <c r="A16" s="47">
        <f>IF($I16&lt;=$B$9,"A",IF($I16&lt;=$B$10,"B","C"))</f>
        <v/>
      </c>
      <c r="B16" s="48" t="inlineStr">
        <is>
          <t>SKU05</t>
        </is>
      </c>
      <c r="C16" s="48" t="n">
        <v>19</v>
      </c>
      <c r="D16" s="49" t="inlineStr">
        <is>
          <t>Memoria RAM 16GB</t>
        </is>
      </c>
      <c r="E16" s="50" t="n">
        <v>45</v>
      </c>
      <c r="F16" s="51" t="n">
        <v>380</v>
      </c>
      <c r="G16" s="52">
        <f>IFERROR(E16*F16,0)</f>
        <v/>
      </c>
      <c r="H16" s="53">
        <f>IFERROR(G16/SUM($G$12:$G$31),0)</f>
        <v/>
      </c>
      <c r="I16" s="53">
        <f>IFERROR(SUMIF($G$12:$G$31,"&gt;="&amp;G16,$G$12:$G$31)/SUM($G$12:$G$31),0)</f>
        <v/>
      </c>
      <c r="P16" t="inlineStr">
        <is>
          <t>B | SKU05 | Memoria RAM 16GB</t>
        </is>
      </c>
      <c r="Q16" t="n">
        <v>0</v>
      </c>
      <c r="R16" t="n">
        <v>17100</v>
      </c>
      <c r="S16" t="n">
        <v>0</v>
      </c>
      <c r="T16" t="n">
        <v>0.82463</v>
      </c>
    </row>
    <row r="17" ht="18" customHeight="1">
      <c r="A17" s="47">
        <f>IF($I17&lt;=$B$9,"A",IF($I17&lt;=$B$10,"B","C"))</f>
        <v/>
      </c>
      <c r="B17" s="48" t="inlineStr">
        <is>
          <t>SKU06</t>
        </is>
      </c>
      <c r="C17" s="48" t="n">
        <v>4</v>
      </c>
      <c r="D17" s="49" t="inlineStr">
        <is>
          <t>Monitor LED 24"</t>
        </is>
      </c>
      <c r="E17" s="50" t="n">
        <v>20</v>
      </c>
      <c r="F17" s="51" t="n">
        <v>850</v>
      </c>
      <c r="G17" s="52">
        <f>IFERROR(E17*F17,0)</f>
        <v/>
      </c>
      <c r="H17" s="53">
        <f>IFERROR(G17/SUM($G$12:$G$31),0)</f>
        <v/>
      </c>
      <c r="I17" s="53">
        <f>IFERROR(SUMIF($G$12:$G$31,"&gt;="&amp;G17,$G$12:$G$31)/SUM($G$12:$G$31),0)</f>
        <v/>
      </c>
      <c r="P17" t="inlineStr">
        <is>
          <t>B | SKU06 | Monitor LED 24"</t>
        </is>
      </c>
      <c r="Q17" t="n">
        <v>0</v>
      </c>
      <c r="R17" t="n">
        <v>17000</v>
      </c>
      <c r="S17" t="n">
        <v>0</v>
      </c>
      <c r="T17" t="n">
        <v>0.85102</v>
      </c>
    </row>
    <row r="18" ht="18" customHeight="1">
      <c r="A18" s="47">
        <f>IF($I18&lt;=$B$9,"A",IF($I18&lt;=$B$10,"B","C"))</f>
        <v/>
      </c>
      <c r="B18" s="48" t="inlineStr">
        <is>
          <t>SKU07</t>
        </is>
      </c>
      <c r="C18" s="48" t="n">
        <v>14</v>
      </c>
      <c r="D18" s="49" t="inlineStr">
        <is>
          <t>Webcam Full HD</t>
        </is>
      </c>
      <c r="E18" s="50" t="n">
        <v>82</v>
      </c>
      <c r="F18" s="51" t="n">
        <v>180</v>
      </c>
      <c r="G18" s="52">
        <f>IFERROR(E18*F18,0)</f>
        <v/>
      </c>
      <c r="H18" s="53">
        <f>IFERROR(G18/SUM($G$12:$G$31),0)</f>
        <v/>
      </c>
      <c r="I18" s="53">
        <f>IFERROR(SUMIF($G$12:$G$31,"&gt;="&amp;G18,$G$12:$G$31)/SUM($G$12:$G$31),0)</f>
        <v/>
      </c>
      <c r="P18" t="inlineStr">
        <is>
          <t>B | SKU07 | Webcam Full HD</t>
        </is>
      </c>
      <c r="Q18" t="n">
        <v>0</v>
      </c>
      <c r="R18" t="n">
        <v>14760</v>
      </c>
      <c r="S18" t="n">
        <v>0</v>
      </c>
      <c r="T18" t="n">
        <v>0.87392</v>
      </c>
    </row>
    <row r="19" ht="18" customHeight="1">
      <c r="A19" s="47">
        <f>IF($I19&lt;=$B$9,"A",IF($I19&lt;=$B$10,"B","C"))</f>
        <v/>
      </c>
      <c r="B19" s="48" t="inlineStr">
        <is>
          <t>SKU08</t>
        </is>
      </c>
      <c r="C19" s="48" t="n">
        <v>11</v>
      </c>
      <c r="D19" s="49" t="inlineStr">
        <is>
          <t>Roteador Wi-Fi 6</t>
        </is>
      </c>
      <c r="E19" s="50" t="n">
        <v>15</v>
      </c>
      <c r="F19" s="51" t="n">
        <v>650</v>
      </c>
      <c r="G19" s="52">
        <f>IFERROR(E19*F19,0)</f>
        <v/>
      </c>
      <c r="H19" s="53">
        <f>IFERROR(G19/SUM($G$12:$G$31),0)</f>
        <v/>
      </c>
      <c r="I19" s="53">
        <f>IFERROR(SUMIF($G$12:$G$31,"&gt;="&amp;G19,$G$12:$G$31)/SUM($G$12:$G$31),0)</f>
        <v/>
      </c>
      <c r="P19" t="inlineStr">
        <is>
          <t>B | SKU09 | SSD 480GB Sata</t>
        </is>
      </c>
      <c r="Q19" t="n">
        <v>0</v>
      </c>
      <c r="R19" t="n">
        <v>10450</v>
      </c>
      <c r="S19" t="n">
        <v>0</v>
      </c>
      <c r="T19" t="n">
        <v>0.89014</v>
      </c>
    </row>
    <row r="20" ht="18" customHeight="1">
      <c r="A20" s="47">
        <f>IF($I20&lt;=$B$9,"A",IF($I20&lt;=$B$10,"B","C"))</f>
        <v/>
      </c>
      <c r="B20" s="48" t="inlineStr">
        <is>
          <t>SKU09</t>
        </is>
      </c>
      <c r="C20" s="48" t="n">
        <v>15</v>
      </c>
      <c r="D20" s="49" t="inlineStr">
        <is>
          <t>SSD 480GB Sata</t>
        </is>
      </c>
      <c r="E20" s="50" t="n">
        <v>55</v>
      </c>
      <c r="F20" s="51" t="n">
        <v>190</v>
      </c>
      <c r="G20" s="52">
        <f>IFERROR(E20*F20,0)</f>
        <v/>
      </c>
      <c r="H20" s="53">
        <f>IFERROR(G20/SUM($G$12:$G$31),0)</f>
        <v/>
      </c>
      <c r="I20" s="53">
        <f>IFERROR(SUMIF($G$12:$G$31,"&gt;="&amp;G20,$G$12:$G$31)/SUM($G$12:$G$31),0)</f>
        <v/>
      </c>
      <c r="P20" t="inlineStr">
        <is>
          <t>B | SKU08 | Roteador Wi-Fi 6</t>
        </is>
      </c>
      <c r="Q20" t="n">
        <v>0</v>
      </c>
      <c r="R20" t="n">
        <v>9750</v>
      </c>
      <c r="S20" t="n">
        <v>0</v>
      </c>
      <c r="T20" t="n">
        <v>0.90527</v>
      </c>
    </row>
    <row r="21" ht="18" customHeight="1">
      <c r="A21" s="47">
        <f>IF($I21&lt;=$B$9,"A",IF($I21&lt;=$B$10,"B","C"))</f>
        <v/>
      </c>
      <c r="B21" s="48" t="inlineStr">
        <is>
          <t>SKU10</t>
        </is>
      </c>
      <c r="C21" s="48" t="n">
        <v>6</v>
      </c>
      <c r="D21" s="49" t="inlineStr">
        <is>
          <t>Nobreak 1500VA</t>
        </is>
      </c>
      <c r="E21" s="50" t="n">
        <v>8</v>
      </c>
      <c r="F21" s="51" t="n">
        <v>1200</v>
      </c>
      <c r="G21" s="52">
        <f>IFERROR(E21*F21,0)</f>
        <v/>
      </c>
      <c r="H21" s="53">
        <f>IFERROR(G21/SUM($G$12:$G$31),0)</f>
        <v/>
      </c>
      <c r="I21" s="53">
        <f>IFERROR(SUMIF($G$12:$G$31,"&gt;="&amp;G21,$G$12:$G$31)/SUM($G$12:$G$31),0)</f>
        <v/>
      </c>
      <c r="P21" t="inlineStr">
        <is>
          <t>B | SKU10 | Nobreak 1500VA</t>
        </is>
      </c>
      <c r="Q21" t="n">
        <v>0</v>
      </c>
      <c r="R21" t="n">
        <v>9600</v>
      </c>
      <c r="S21" t="n">
        <v>0</v>
      </c>
      <c r="T21" t="n">
        <v>0.92017</v>
      </c>
    </row>
    <row r="22" ht="18" customHeight="1">
      <c r="A22" s="47">
        <f>IF($I22&lt;=$B$9,"A",IF($I22&lt;=$B$10,"B","C"))</f>
        <v/>
      </c>
      <c r="B22" s="48" t="inlineStr">
        <is>
          <t>SKU11</t>
        </is>
      </c>
      <c r="C22" s="48" t="n">
        <v>20</v>
      </c>
      <c r="D22" s="49" t="inlineStr">
        <is>
          <t>HD Externo 2TB</t>
        </is>
      </c>
      <c r="E22" s="50" t="n">
        <v>18</v>
      </c>
      <c r="F22" s="51" t="n">
        <v>420</v>
      </c>
      <c r="G22" s="52">
        <f>IFERROR(E22*F22,0)</f>
        <v/>
      </c>
      <c r="H22" s="53">
        <f>IFERROR(G22/SUM($G$12:$G$31),0)</f>
        <v/>
      </c>
      <c r="I22" s="53">
        <f>IFERROR(SUMIF($G$12:$G$31,"&gt;="&amp;G22,$G$12:$G$31)/SUM($G$12:$G$31),0)</f>
        <v/>
      </c>
      <c r="P22" t="inlineStr">
        <is>
          <t>B | SKU11 | HD Externo 2TB</t>
        </is>
      </c>
      <c r="Q22" t="n">
        <v>0</v>
      </c>
      <c r="R22" t="n">
        <v>7560</v>
      </c>
      <c r="S22" t="n">
        <v>0</v>
      </c>
      <c r="T22" t="n">
        <v>0.93191</v>
      </c>
    </row>
    <row r="23" ht="18" customHeight="1">
      <c r="A23" s="47">
        <f>IF($I23&lt;=$B$9,"A",IF($I23&lt;=$B$10,"B","C"))</f>
        <v/>
      </c>
      <c r="B23" s="48" t="inlineStr">
        <is>
          <t>SKU12</t>
        </is>
      </c>
      <c r="C23" s="48" t="n">
        <v>5</v>
      </c>
      <c r="D23" s="49" t="inlineStr">
        <is>
          <t>Teclado Mecanico RGB</t>
        </is>
      </c>
      <c r="E23" s="50" t="n">
        <v>30</v>
      </c>
      <c r="F23" s="51" t="n">
        <v>250</v>
      </c>
      <c r="G23" s="52">
        <f>IFERROR(E23*F23,0)</f>
        <v/>
      </c>
      <c r="H23" s="53">
        <f>IFERROR(G23/SUM($G$12:$G$31),0)</f>
        <v/>
      </c>
      <c r="I23" s="53">
        <f>IFERROR(SUMIF($G$12:$G$31,"&gt;="&amp;G23,$G$12:$G$31)/SUM($G$12:$G$31),0)</f>
        <v/>
      </c>
      <c r="P23" t="inlineStr">
        <is>
          <t>B | SKU12 | Teclado Mecanico RGB</t>
        </is>
      </c>
      <c r="Q23" t="n">
        <v>0</v>
      </c>
      <c r="R23" t="n">
        <v>7500</v>
      </c>
      <c r="S23" t="n">
        <v>0</v>
      </c>
      <c r="T23" t="n">
        <v>0.94354</v>
      </c>
    </row>
    <row r="24" ht="18" customHeight="1">
      <c r="A24" s="47">
        <f>IF($I24&lt;=$B$9,"A",IF($I24&lt;=$B$10,"B","C"))</f>
        <v/>
      </c>
      <c r="B24" s="48" t="inlineStr">
        <is>
          <t>SKU13</t>
        </is>
      </c>
      <c r="C24" s="48" t="n">
        <v>9</v>
      </c>
      <c r="D24" s="49" t="inlineStr">
        <is>
          <t>Pen Drive 64GB</t>
        </is>
      </c>
      <c r="E24" s="50" t="n">
        <v>160</v>
      </c>
      <c r="F24" s="51" t="n">
        <v>45</v>
      </c>
      <c r="G24" s="52">
        <f>IFERROR(E24*F24,0)</f>
        <v/>
      </c>
      <c r="H24" s="53">
        <f>IFERROR(G24/SUM($G$12:$G$31),0)</f>
        <v/>
      </c>
      <c r="I24" s="53">
        <f>IFERROR(SUMIF($G$12:$G$31,"&gt;="&amp;G24,$G$12:$G$31)/SUM($G$12:$G$31),0)</f>
        <v/>
      </c>
      <c r="P24" t="inlineStr">
        <is>
          <t>C | SKU13 | Pen Drive 64GB</t>
        </is>
      </c>
      <c r="Q24" t="n">
        <v>0</v>
      </c>
      <c r="R24" t="n">
        <v>0</v>
      </c>
      <c r="S24" t="n">
        <v>7200</v>
      </c>
      <c r="T24" t="n">
        <v>0.95472</v>
      </c>
    </row>
    <row r="25" ht="18" customHeight="1">
      <c r="A25" s="47">
        <f>IF($I25&lt;=$B$9,"A",IF($I25&lt;=$B$10,"B","C"))</f>
        <v/>
      </c>
      <c r="B25" s="48" t="inlineStr">
        <is>
          <t>SKU14</t>
        </is>
      </c>
      <c r="C25" s="48" t="n">
        <v>13</v>
      </c>
      <c r="D25" s="49" t="inlineStr">
        <is>
          <t>Headset com Microfone</t>
        </is>
      </c>
      <c r="E25" s="50" t="n">
        <v>64</v>
      </c>
      <c r="F25" s="51" t="n">
        <v>110</v>
      </c>
      <c r="G25" s="52">
        <f>IFERROR(E25*F25,0)</f>
        <v/>
      </c>
      <c r="H25" s="53">
        <f>IFERROR(G25/SUM($G$12:$G$31),0)</f>
        <v/>
      </c>
      <c r="I25" s="53">
        <f>IFERROR(SUMIF($G$12:$G$31,"&gt;="&amp;G25,$G$12:$G$31)/SUM($G$12:$G$31),0)</f>
        <v/>
      </c>
      <c r="P25" t="inlineStr">
        <is>
          <t>C | SKU14 | Headset com Microfon</t>
        </is>
      </c>
      <c r="Q25" t="n">
        <v>0</v>
      </c>
      <c r="R25" t="n">
        <v>0</v>
      </c>
      <c r="S25" t="n">
        <v>7040</v>
      </c>
      <c r="T25" t="n">
        <v>0.96565</v>
      </c>
    </row>
    <row r="26" ht="18" customHeight="1">
      <c r="A26" s="47">
        <f>IF($I26&lt;=$B$9,"A",IF($I26&lt;=$B$10,"B","C"))</f>
        <v/>
      </c>
      <c r="B26" s="48" t="inlineStr">
        <is>
          <t>SKU15</t>
        </is>
      </c>
      <c r="C26" s="48" t="n">
        <v>7</v>
      </c>
      <c r="D26" s="49" t="inlineStr">
        <is>
          <t>Pacote de Papel A4</t>
        </is>
      </c>
      <c r="E26" s="50" t="n">
        <v>237</v>
      </c>
      <c r="F26" s="51" t="n">
        <v>28</v>
      </c>
      <c r="G26" s="52">
        <f>IFERROR(E26*F26,0)</f>
        <v/>
      </c>
      <c r="H26" s="53">
        <f>IFERROR(G26/SUM($G$12:$G$31),0)</f>
        <v/>
      </c>
      <c r="I26" s="53">
        <f>IFERROR(SUMIF($G$12:$G$31,"&gt;="&amp;G26,$G$12:$G$31)/SUM($G$12:$G$31),0)</f>
        <v/>
      </c>
      <c r="P26" t="inlineStr">
        <is>
          <t>C | SKU15 | Pacote de Papel A4</t>
        </is>
      </c>
      <c r="Q26" t="n">
        <v>0</v>
      </c>
      <c r="R26" t="n">
        <v>0</v>
      </c>
      <c r="S26" t="n">
        <v>6636</v>
      </c>
      <c r="T26" t="n">
        <v>0.97594</v>
      </c>
    </row>
    <row r="27" ht="18" customHeight="1">
      <c r="A27" s="47">
        <f>IF($I27&lt;=$B$9,"A",IF($I27&lt;=$B$10,"B","C"))</f>
        <v/>
      </c>
      <c r="B27" s="48" t="inlineStr">
        <is>
          <t>SKU16</t>
        </is>
      </c>
      <c r="C27" s="48" t="n">
        <v>18</v>
      </c>
      <c r="D27" s="49" t="inlineStr">
        <is>
          <t>Filtro de Linha 5 Tom.</t>
        </is>
      </c>
      <c r="E27" s="50" t="n">
        <v>110</v>
      </c>
      <c r="F27" s="51" t="n">
        <v>40</v>
      </c>
      <c r="G27" s="52">
        <f>IFERROR(E27*F27,0)</f>
        <v/>
      </c>
      <c r="H27" s="53">
        <f>IFERROR(G27/SUM($G$12:$G$31),0)</f>
        <v/>
      </c>
      <c r="I27" s="53">
        <f>IFERROR(SUMIF($G$12:$G$31,"&gt;="&amp;G27,$G$12:$G$31)/SUM($G$12:$G$31),0)</f>
        <v/>
      </c>
      <c r="P27" t="inlineStr">
        <is>
          <t>C | SKU16 | Filtro de Linha 5 To</t>
        </is>
      </c>
      <c r="Q27" t="n">
        <v>0</v>
      </c>
      <c r="R27" t="n">
        <v>0</v>
      </c>
      <c r="S27" t="n">
        <v>4400</v>
      </c>
      <c r="T27" t="n">
        <v>0.98277</v>
      </c>
    </row>
    <row r="28" ht="18" customHeight="1">
      <c r="A28" s="47">
        <f>IF($I28&lt;=$B$9,"A",IF($I28&lt;=$B$10,"B","C"))</f>
        <v/>
      </c>
      <c r="B28" s="48" t="inlineStr">
        <is>
          <t>SKU17</t>
        </is>
      </c>
      <c r="C28" s="48" t="n">
        <v>1</v>
      </c>
      <c r="D28" s="49" t="inlineStr">
        <is>
          <t>Cabo HDMI 2m</t>
        </is>
      </c>
      <c r="E28" s="50" t="n">
        <v>150</v>
      </c>
      <c r="F28" s="51" t="n">
        <v>25</v>
      </c>
      <c r="G28" s="52">
        <f>IFERROR(E28*F28,0)</f>
        <v/>
      </c>
      <c r="H28" s="53">
        <f>IFERROR(G28/SUM($G$12:$G$31),0)</f>
        <v/>
      </c>
      <c r="I28" s="53">
        <f>IFERROR(SUMIF($G$12:$G$31,"&gt;="&amp;G28,$G$12:$G$31)/SUM($G$12:$G$31),0)</f>
        <v/>
      </c>
      <c r="P28" t="inlineStr">
        <is>
          <t>C | SKU17 | Cabo HDMI 2m</t>
        </is>
      </c>
      <c r="Q28" t="n">
        <v>0</v>
      </c>
      <c r="R28" t="n">
        <v>0</v>
      </c>
      <c r="S28" t="n">
        <v>3750</v>
      </c>
      <c r="T28" t="n">
        <v>0.98859</v>
      </c>
    </row>
    <row r="29" ht="18" customHeight="1">
      <c r="A29" s="47">
        <f>IF($I29&lt;=$B$9,"A",IF($I29&lt;=$B$10,"B","C"))</f>
        <v/>
      </c>
      <c r="B29" s="48" t="inlineStr">
        <is>
          <t>SKU18</t>
        </is>
      </c>
      <c r="C29" s="48" t="n">
        <v>16</v>
      </c>
      <c r="D29" s="49" t="inlineStr">
        <is>
          <t>Adaptador USB-C</t>
        </is>
      </c>
      <c r="E29" s="50" t="n">
        <v>90</v>
      </c>
      <c r="F29" s="51" t="n">
        <v>35</v>
      </c>
      <c r="G29" s="52">
        <f>IFERROR(E29*F29,0)</f>
        <v/>
      </c>
      <c r="H29" s="53">
        <f>IFERROR(G29/SUM($G$12:$G$31),0)</f>
        <v/>
      </c>
      <c r="I29" s="53">
        <f>IFERROR(SUMIF($G$12:$G$31,"&gt;="&amp;G29,$G$12:$G$31)/SUM($G$12:$G$31),0)</f>
        <v/>
      </c>
      <c r="P29" t="inlineStr">
        <is>
          <t>C | SKU18 | Adaptador USB-C</t>
        </is>
      </c>
      <c r="Q29" t="n">
        <v>0</v>
      </c>
      <c r="R29" t="n">
        <v>0</v>
      </c>
      <c r="S29" t="n">
        <v>3150</v>
      </c>
      <c r="T29" t="n">
        <v>0.99348</v>
      </c>
    </row>
    <row r="30" ht="18" customHeight="1">
      <c r="A30" s="47">
        <f>IF($I30&lt;=$B$9,"A",IF($I30&lt;=$B$10,"B","C"))</f>
        <v/>
      </c>
      <c r="B30" s="48" t="inlineStr">
        <is>
          <t>SKU19</t>
        </is>
      </c>
      <c r="C30" s="48" t="n">
        <v>3</v>
      </c>
      <c r="D30" s="49" t="inlineStr">
        <is>
          <t>Mouse Optico Simples</t>
        </is>
      </c>
      <c r="E30" s="50" t="n">
        <v>120</v>
      </c>
      <c r="F30" s="51" t="n">
        <v>15</v>
      </c>
      <c r="G30" s="52">
        <f>IFERROR(E30*F30,0)</f>
        <v/>
      </c>
      <c r="H30" s="53">
        <f>IFERROR(G30/SUM($G$12:$G$31),0)</f>
        <v/>
      </c>
      <c r="I30" s="53">
        <f>IFERROR(SUMIF($G$12:$G$31,"&gt;="&amp;G30,$G$12:$G$31)/SUM($G$12:$G$31),0)</f>
        <v/>
      </c>
      <c r="P30" t="inlineStr">
        <is>
          <t>C | SKU20 | Patch Cord RJ45 1m</t>
        </is>
      </c>
      <c r="Q30" t="n">
        <v>0</v>
      </c>
      <c r="R30" t="n">
        <v>0</v>
      </c>
      <c r="S30" t="n">
        <v>2400</v>
      </c>
      <c r="T30" t="n">
        <v>0.99721</v>
      </c>
    </row>
    <row r="31" ht="18" customHeight="1">
      <c r="A31" s="47">
        <f>IF($I31&lt;=$B$9,"A",IF($I31&lt;=$B$10,"B","C"))</f>
        <v/>
      </c>
      <c r="B31" s="48" t="inlineStr">
        <is>
          <t>SKU20</t>
        </is>
      </c>
      <c r="C31" s="48" t="n">
        <v>8</v>
      </c>
      <c r="D31" s="49" t="inlineStr">
        <is>
          <t>Patch Cord RJ45 1m</t>
        </is>
      </c>
      <c r="E31" s="50" t="n">
        <v>200</v>
      </c>
      <c r="F31" s="51" t="n">
        <v>12</v>
      </c>
      <c r="G31" s="52">
        <f>IFERROR(E31*F31,0)</f>
        <v/>
      </c>
      <c r="H31" s="53">
        <f>IFERROR(G31/SUM($G$12:$G$31),0)</f>
        <v/>
      </c>
      <c r="I31" s="53">
        <f>IFERROR(SUMIF($G$12:$G$31,"&gt;="&amp;G31,$G$12:$G$31)/SUM($G$12:$G$31),0)</f>
        <v/>
      </c>
      <c r="P31" t="inlineStr">
        <is>
          <t>C | SKU19 | Mouse Optico Simples</t>
        </is>
      </c>
      <c r="Q31" t="n">
        <v>0</v>
      </c>
      <c r="R31" t="n">
        <v>0</v>
      </c>
      <c r="S31" t="n">
        <v>1800</v>
      </c>
      <c r="T31" t="n">
        <v>1</v>
      </c>
    </row>
    <row r="32" ht="24" customHeight="1">
      <c r="A32" s="54" t="inlineStr">
        <is>
          <t>TOTAL GERAL</t>
        </is>
      </c>
      <c r="B32" s="55" t="n"/>
      <c r="C32" s="55" t="n"/>
      <c r="D32" s="55" t="n"/>
      <c r="E32" s="56">
        <f>SUM(E12:E31)</f>
        <v/>
      </c>
      <c r="F32" s="57" t="n"/>
      <c r="G32" s="58">
        <f>SUM(G12:G31)</f>
        <v/>
      </c>
      <c r="H32" s="59" t="n">
        <v>1</v>
      </c>
      <c r="I32" s="59" t="n">
        <v>1</v>
      </c>
    </row>
    <row r="33" ht="18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B1"/>
  <mergeCells count="21">
    <mergeCell ref="C6:D6"/>
    <mergeCell ref="C5:D5"/>
    <mergeCell ref="E5:F5"/>
    <mergeCell ref="J1:N1"/>
    <mergeCell ref="A6:B6"/>
    <mergeCell ref="C4:D4"/>
    <mergeCell ref="E4:F4"/>
    <mergeCell ref="A8:I8"/>
    <mergeCell ref="G6:H6"/>
    <mergeCell ref="A3:B3"/>
    <mergeCell ref="G3:H3"/>
    <mergeCell ref="E6:F6"/>
    <mergeCell ref="A5:B5"/>
    <mergeCell ref="G5:H5"/>
    <mergeCell ref="A4:B4"/>
    <mergeCell ref="G4:H4"/>
    <mergeCell ref="A1:I1"/>
    <mergeCell ref="K8:N8"/>
    <mergeCell ref="C3:D3"/>
    <mergeCell ref="A32:D32"/>
    <mergeCell ref="E3:F3"/>
  </mergeCells>
  <conditionalFormatting sqref="A12:I31">
    <cfRule type="expression" priority="1" dxfId="0">
      <formula>$A12="A"</formula>
    </cfRule>
    <cfRule type="expression" priority="3" dxfId="1">
      <formula>$A12="B"</formula>
    </cfRule>
    <cfRule type="expression" priority="5" dxfId="2">
      <formula>$A12="C"</formula>
    </cfRule>
  </conditionalFormatting>
  <conditionalFormatting sqref="A12:A31">
    <cfRule type="expression" priority="2" dxfId="3">
      <formula>$A12="A"</formula>
    </cfRule>
    <cfRule type="expression" priority="4" dxfId="4">
      <formula>$A12="B"</formula>
    </cfRule>
    <cfRule type="expression" priority="6" dxfId="5">
      <formula>$A12="C"</formula>
    </cfRule>
  </conditionalFormatting>
  <dataValidations count="2">
    <dataValidation sqref="B9" showDropDown="0" showInputMessage="1" showErrorMessage="1" allowBlank="0" errorTitle="Valor invalido" error="Digite um decimal entre 0,50 e 0.89 (ex: 0,80 para 80%)" promptTitle="Limite da Curva ABC" prompt="Formato decimal. Ex: 0,80 = 80%" type="decimal" operator="between">
      <formula1>0.5</formula1>
      <formula2>0.89</formula2>
    </dataValidation>
    <dataValidation sqref="B10" showDropDown="0" showInputMessage="1" showErrorMessage="1" allowBlank="0" errorTitle="Valor invalido" error="Digite um decimal entre 0,50 e 0.99 (ex: 0,80 para 80%)" promptTitle="Limite da Curva ABC" prompt="Formato decimal. Ex: 0,80 = 80%" type="decimal" operator="between">
      <formula1>0.5</formula1>
      <formula2>0.99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T4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28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2" customWidth="1" min="10" max="10"/>
    <col width="10" customWidth="1" min="11" max="11"/>
    <col width="16" customWidth="1" min="12" max="12"/>
    <col width="10" customWidth="1" min="13" max="13"/>
    <col width="10" customWidth="1" min="14" max="14"/>
    <col hidden="1" width="22" customWidth="1" min="16" max="16"/>
    <col hidden="1" width="12" customWidth="1" min="17" max="17"/>
    <col hidden="1" width="12" customWidth="1" min="18" max="18"/>
    <col hidden="1" width="12" customWidth="1" min="19" max="19"/>
    <col hidden="1" width="12" customWidth="1" min="20" max="20"/>
  </cols>
  <sheetData>
    <row r="1" ht="52" customHeight="1">
      <c r="A1" s="1" t="inlineStr">
        <is>
          <t xml:space="preserve">  CURVA ABC — ABA 02  —  Curva ABC de Pareto | Reggae Dashboard</t>
        </is>
      </c>
      <c r="J1" s="2" t="inlineStr">
        <is>
          <t>Classe A = ate 80%   |   Classe B = 80-95%   |   Classe C = 95-100%</t>
        </is>
      </c>
      <c r="O1" s="3" t="n"/>
    </row>
    <row r="2" ht="8" customHeight="1">
      <c r="A2" s="4" t="n"/>
      <c r="B2" s="3" t="n"/>
      <c r="C2" s="5" t="n"/>
      <c r="D2" s="6" t="n"/>
      <c r="E2" s="4" t="n"/>
      <c r="F2" s="3" t="n"/>
      <c r="G2" s="5" t="n"/>
      <c r="H2" s="6" t="n"/>
      <c r="I2" s="4" t="n"/>
      <c r="J2" s="3" t="n"/>
      <c r="K2" s="5" t="n"/>
      <c r="L2" s="6" t="n"/>
      <c r="M2" s="4" t="n"/>
      <c r="N2" s="3" t="n"/>
    </row>
    <row r="3" ht="24" customHeight="1">
      <c r="A3" s="7" t="inlineStr">
        <is>
          <t>VALOR TOTAL</t>
        </is>
      </c>
      <c r="B3" s="8" t="n"/>
      <c r="C3" s="9" t="inlineStr">
        <is>
          <t>CLASSE A (VT)</t>
        </is>
      </c>
      <c r="D3" s="8" t="n"/>
      <c r="E3" s="10" t="inlineStr">
        <is>
          <t>CLASSE B (VT)</t>
        </is>
      </c>
      <c r="F3" s="8" t="n"/>
      <c r="G3" s="9" t="inlineStr">
        <is>
          <t>MAIOR V.T.</t>
        </is>
      </c>
      <c r="H3" s="8" t="n"/>
      <c r="I3" s="11" t="n"/>
    </row>
    <row r="4" ht="30" customHeight="1">
      <c r="A4" s="12">
        <f>SUM($G$12:$G$41)</f>
        <v/>
      </c>
      <c r="B4" s="13" t="n"/>
      <c r="C4" s="14">
        <f>SUMIF($A$12:$A$41,"A",$G$12:$G$41)</f>
        <v/>
      </c>
      <c r="D4" s="13" t="n"/>
      <c r="E4" s="15">
        <f>SUMIF($A$12:$A$41,"B",$G$12:$G$41)</f>
        <v/>
      </c>
      <c r="F4" s="13" t="n"/>
      <c r="G4" s="16">
        <f>MAX($G$12:$G$41)</f>
        <v/>
      </c>
      <c r="H4" s="13" t="n"/>
      <c r="I4" s="17" t="n"/>
    </row>
    <row r="5" ht="24" customHeight="1">
      <c r="A5" s="18" t="inlineStr">
        <is>
          <t>TOTAL DE ITENS</t>
        </is>
      </c>
      <c r="B5" s="13" t="n"/>
      <c r="C5" s="19" t="inlineStr">
        <is>
          <t>% ITENS CLASSE A</t>
        </is>
      </c>
      <c r="D5" s="13" t="n"/>
      <c r="E5" s="19" t="inlineStr">
        <is>
          <t>CLASSE C (VT)</t>
        </is>
      </c>
      <c r="F5" s="13" t="n"/>
      <c r="G5" s="19" t="inlineStr">
        <is>
          <t>STATUS</t>
        </is>
      </c>
      <c r="H5" s="13" t="n"/>
      <c r="I5" s="17" t="n"/>
    </row>
    <row r="6" ht="30" customHeight="1">
      <c r="A6" s="20">
        <f>COUNTA($D$12:$D$41)</f>
        <v/>
      </c>
      <c r="B6" s="21" t="n"/>
      <c r="C6" s="22">
        <f>IFERROR(COUNTIF($A$12:$A$41,"A")/COUNTA($D$12:$D$41),0)</f>
        <v/>
      </c>
      <c r="D6" s="21" t="n"/>
      <c r="E6" s="23">
        <f>SUMIF($A$12:$A$41,"C",$G$12:$G$41)</f>
        <v/>
      </c>
      <c r="F6" s="21" t="n"/>
      <c r="G6" s="24">
        <f>IF(IFERROR(MAX($I$12:$I$41),0)&gt;1.001,"VERIFICAR","OK")</f>
        <v/>
      </c>
      <c r="H6" s="21" t="n"/>
      <c r="I6" s="25" t="n"/>
    </row>
    <row r="7" ht="8" customHeight="1">
      <c r="A7" s="5" t="n"/>
      <c r="B7" s="3" t="n"/>
      <c r="C7" s="4" t="n"/>
      <c r="D7" s="6" t="n"/>
      <c r="E7" s="5" t="n"/>
      <c r="F7" s="3" t="n"/>
      <c r="G7" s="4" t="n"/>
      <c r="H7" s="6" t="n"/>
      <c r="I7" s="5" t="n"/>
      <c r="J7" s="3" t="n"/>
      <c r="K7" s="4" t="n"/>
      <c r="L7" s="6" t="n"/>
      <c r="M7" s="5" t="n"/>
      <c r="N7" s="3" t="n"/>
    </row>
    <row r="8" ht="18" customHeight="1">
      <c r="A8" s="26" t="inlineStr">
        <is>
          <t xml:space="preserve">  Edite somente: Qtd. (col E) e Custo Unit. (col F) | Limite A → celula B9  |  Limite B → celula B10 | V.T. e ABC recalculam automaticamente</t>
        </is>
      </c>
      <c r="K8" s="27" t="inlineStr">
        <is>
          <t>RESUMO POR CLASSE</t>
        </is>
      </c>
    </row>
    <row r="9" ht="24" customHeight="1">
      <c r="A9" s="28" t="inlineStr">
        <is>
          <t>Limite A (Classe A):</t>
        </is>
      </c>
      <c r="B9" s="29" t="n">
        <v>0.8</v>
      </c>
      <c r="K9" s="30" t="inlineStr">
        <is>
          <t>A</t>
        </is>
      </c>
      <c r="L9" s="31">
        <f>SUMIF($A$12:$A$41,"A",$G$12:$G$41)</f>
        <v/>
      </c>
      <c r="M9" s="32">
        <f>IFERROR(L9/SUM($G$12:$G$41),0)</f>
        <v/>
      </c>
      <c r="N9" s="33">
        <f>COUNTIF($A$12:$A$41,"A")</f>
        <v/>
      </c>
    </row>
    <row r="10" ht="24" customHeight="1">
      <c r="A10" s="28" t="inlineStr">
        <is>
          <t>Limite B (Classe B):</t>
        </is>
      </c>
      <c r="B10" s="34" t="n">
        <v>0.95</v>
      </c>
      <c r="K10" s="35" t="inlineStr">
        <is>
          <t>B</t>
        </is>
      </c>
      <c r="L10" s="36">
        <f>SUMIF($A$12:$A$41,"B",$G$12:$G$41)</f>
        <v/>
      </c>
      <c r="M10" s="37">
        <f>IFERROR(L10/SUM($G$12:$G$41),0)</f>
        <v/>
      </c>
      <c r="N10" s="38">
        <f>COUNTIF($A$12:$A$41,"B")</f>
        <v/>
      </c>
    </row>
    <row r="11" ht="26" customHeight="1">
      <c r="A11" s="39" t="inlineStr">
        <is>
          <t>ABC</t>
        </is>
      </c>
      <c r="B11" s="40" t="inlineStr">
        <is>
          <t>SKU</t>
        </is>
      </c>
      <c r="C11" s="40" t="inlineStr">
        <is>
          <t>Cod.</t>
        </is>
      </c>
      <c r="D11" s="41" t="inlineStr">
        <is>
          <t>Descricao do Produto</t>
        </is>
      </c>
      <c r="E11" s="42" t="inlineStr">
        <is>
          <t>Qtd.</t>
        </is>
      </c>
      <c r="F11" s="42" t="inlineStr">
        <is>
          <t>Custo Unit.(R$)</t>
        </is>
      </c>
      <c r="G11" s="39" t="inlineStr">
        <is>
          <t>V.T. (R$)</t>
        </is>
      </c>
      <c r="H11" s="40" t="inlineStr">
        <is>
          <t>% Individual</t>
        </is>
      </c>
      <c r="I11" s="40" t="inlineStr">
        <is>
          <t>% Acumulado</t>
        </is>
      </c>
      <c r="K11" s="43" t="inlineStr">
        <is>
          <t>C</t>
        </is>
      </c>
      <c r="L11" s="44">
        <f>SUMIF($A$12:$A$41,"C",$G$12:$G$41)</f>
        <v/>
      </c>
      <c r="M11" s="45">
        <f>IFERROR(L11/SUM($G$12:$G$41),0)</f>
        <v/>
      </c>
      <c r="N11" s="46">
        <f>COUNTIF($A$12:$A$41,"C")</f>
        <v/>
      </c>
    </row>
    <row r="12" ht="18" customHeight="1">
      <c r="A12" s="47">
        <f>IF($I12&lt;=$B$9,"A",IF($I12&lt;=$B$10,"B","C"))</f>
        <v/>
      </c>
      <c r="B12" s="48" t="inlineStr">
        <is>
          <t>SKU01</t>
        </is>
      </c>
      <c r="C12" s="48" t="n">
        <v>2</v>
      </c>
      <c r="D12" s="49" t="inlineStr">
        <is>
          <t>Servidor Rack Dell Pro</t>
        </is>
      </c>
      <c r="E12" s="50" t="n">
        <v>15</v>
      </c>
      <c r="F12" s="51" t="n">
        <v>22500</v>
      </c>
      <c r="G12" s="52">
        <f>IFERROR(E12*F12,0)</f>
        <v/>
      </c>
      <c r="H12" s="53">
        <f>IFERROR(G12/SUM($G$12:$G$41),0)</f>
        <v/>
      </c>
      <c r="I12" s="53">
        <f>IFERROR(SUMIF($G$12:$G$41,"&gt;="&amp;G12,$G$12:$G$41)/SUM($G$12:$G$41),0)</f>
        <v/>
      </c>
      <c r="P12" t="inlineStr">
        <is>
          <t>A | SKU01 | Servidor Rack Dell P</t>
        </is>
      </c>
      <c r="Q12" t="n">
        <v>337500</v>
      </c>
      <c r="R12" t="n">
        <v>0</v>
      </c>
      <c r="S12" t="n">
        <v>0</v>
      </c>
      <c r="T12" t="n">
        <v>0.32488</v>
      </c>
    </row>
    <row r="13" ht="18" customHeight="1">
      <c r="A13" s="47">
        <f>IF($I13&lt;=$B$9,"A",IF($I13&lt;=$B$10,"B","C"))</f>
        <v/>
      </c>
      <c r="B13" s="48" t="inlineStr">
        <is>
          <t>SKU02</t>
        </is>
      </c>
      <c r="C13" s="48" t="n">
        <v>17</v>
      </c>
      <c r="D13" s="49" t="inlineStr">
        <is>
          <t>Workstation Grafica</t>
        </is>
      </c>
      <c r="E13" s="50" t="n">
        <v>19</v>
      </c>
      <c r="F13" s="51" t="n">
        <v>12000</v>
      </c>
      <c r="G13" s="52">
        <f>IFERROR(E13*F13,0)</f>
        <v/>
      </c>
      <c r="H13" s="53">
        <f>IFERROR(G13/SUM($G$12:$G$41),0)</f>
        <v/>
      </c>
      <c r="I13" s="53">
        <f>IFERROR(SUMIF($G$12:$G$41,"&gt;="&amp;G13,$G$12:$G$41)/SUM($G$12:$G$41),0)</f>
        <v/>
      </c>
      <c r="P13" t="inlineStr">
        <is>
          <t>A | SKU02 | Workstation Grafica</t>
        </is>
      </c>
      <c r="Q13" t="n">
        <v>228000</v>
      </c>
      <c r="R13" t="n">
        <v>0</v>
      </c>
      <c r="S13" t="n">
        <v>0</v>
      </c>
      <c r="T13" t="n">
        <v>0.54435</v>
      </c>
    </row>
    <row r="14" ht="18" customHeight="1">
      <c r="A14" s="47">
        <f>IF($I14&lt;=$B$9,"A",IF($I14&lt;=$B$10,"B","C"))</f>
        <v/>
      </c>
      <c r="B14" s="48" t="inlineStr">
        <is>
          <t>SKU03</t>
        </is>
      </c>
      <c r="C14" s="48" t="n">
        <v>10</v>
      </c>
      <c r="D14" s="49" t="inlineStr">
        <is>
          <t>Notebook i7 32GB RAM</t>
        </is>
      </c>
      <c r="E14" s="50" t="n">
        <v>28</v>
      </c>
      <c r="F14" s="51" t="n">
        <v>7200</v>
      </c>
      <c r="G14" s="52">
        <f>IFERROR(E14*F14,0)</f>
        <v/>
      </c>
      <c r="H14" s="53">
        <f>IFERROR(G14/SUM($G$12:$G$41),0)</f>
        <v/>
      </c>
      <c r="I14" s="53">
        <f>IFERROR(SUMIF($G$12:$G$41,"&gt;="&amp;G14,$G$12:$G$41)/SUM($G$12:$G$41),0)</f>
        <v/>
      </c>
      <c r="P14" t="inlineStr">
        <is>
          <t>A | SKU03 | Notebook i7 32GB RAM</t>
        </is>
      </c>
      <c r="Q14" t="n">
        <v>201600</v>
      </c>
      <c r="R14" t="n">
        <v>0</v>
      </c>
      <c r="S14" t="n">
        <v>0</v>
      </c>
      <c r="T14" t="n">
        <v>0.73842</v>
      </c>
    </row>
    <row r="15" ht="18" customHeight="1">
      <c r="A15" s="47">
        <f>IF($I15&lt;=$B$9,"A",IF($I15&lt;=$B$10,"B","C"))</f>
        <v/>
      </c>
      <c r="B15" s="48" t="inlineStr">
        <is>
          <t>SKU04</t>
        </is>
      </c>
      <c r="C15" s="48" t="n">
        <v>8</v>
      </c>
      <c r="D15" s="49" t="inlineStr">
        <is>
          <t>Switch Gerenciavel 48p</t>
        </is>
      </c>
      <c r="E15" s="50" t="n">
        <v>10</v>
      </c>
      <c r="F15" s="51" t="n">
        <v>4800</v>
      </c>
      <c r="G15" s="52">
        <f>IFERROR(E15*F15,0)</f>
        <v/>
      </c>
      <c r="H15" s="53">
        <f>IFERROR(G15/SUM($G$12:$G$41),0)</f>
        <v/>
      </c>
      <c r="I15" s="53">
        <f>IFERROR(SUMIF($G$12:$G$41,"&gt;="&amp;G15,$G$12:$G$41)/SUM($G$12:$G$41),0)</f>
        <v/>
      </c>
      <c r="P15" t="inlineStr">
        <is>
          <t>A | SKU04 | Switch Gerenciavel 4</t>
        </is>
      </c>
      <c r="Q15" t="n">
        <v>48000</v>
      </c>
      <c r="R15" t="n">
        <v>0</v>
      </c>
      <c r="S15" t="n">
        <v>0</v>
      </c>
      <c r="T15" t="n">
        <v>0.78462</v>
      </c>
    </row>
    <row r="16" ht="18" customHeight="1">
      <c r="A16" s="47">
        <f>IF($I16&lt;=$B$9,"A",IF($I16&lt;=$B$10,"B","C"))</f>
        <v/>
      </c>
      <c r="B16" s="48" t="inlineStr">
        <is>
          <t>SKU05</t>
        </is>
      </c>
      <c r="C16" s="48" t="n">
        <v>22</v>
      </c>
      <c r="D16" s="49" t="inlineStr">
        <is>
          <t>Placa de Video RTX</t>
        </is>
      </c>
      <c r="E16" s="50" t="n">
        <v>8</v>
      </c>
      <c r="F16" s="51" t="n">
        <v>5500</v>
      </c>
      <c r="G16" s="52">
        <f>IFERROR(E16*F16,0)</f>
        <v/>
      </c>
      <c r="H16" s="53">
        <f>IFERROR(G16/SUM($G$12:$G$41),0)</f>
        <v/>
      </c>
      <c r="I16" s="53">
        <f>IFERROR(SUMIF($G$12:$G$41,"&gt;="&amp;G16,$G$12:$G$41)/SUM($G$12:$G$41),0)</f>
        <v/>
      </c>
      <c r="P16" t="inlineStr">
        <is>
          <t>B | SKU05 | Placa de Video RTX</t>
        </is>
      </c>
      <c r="Q16" t="n">
        <v>0</v>
      </c>
      <c r="R16" t="n">
        <v>44000</v>
      </c>
      <c r="S16" t="n">
        <v>0</v>
      </c>
      <c r="T16" t="n">
        <v>0.82698</v>
      </c>
    </row>
    <row r="17" ht="18" customHeight="1">
      <c r="A17" s="47">
        <f>IF($I17&lt;=$B$9,"A",IF($I17&lt;=$B$10,"B","C"))</f>
        <v/>
      </c>
      <c r="B17" s="48" t="inlineStr">
        <is>
          <t>SKU06</t>
        </is>
      </c>
      <c r="C17" s="48" t="n">
        <v>21</v>
      </c>
      <c r="D17" s="49" t="inlineStr">
        <is>
          <t>Storage NAS 40TB</t>
        </is>
      </c>
      <c r="E17" s="50" t="n">
        <v>2</v>
      </c>
      <c r="F17" s="51" t="n">
        <v>18500</v>
      </c>
      <c r="G17" s="52">
        <f>IFERROR(E17*F17,0)</f>
        <v/>
      </c>
      <c r="H17" s="53">
        <f>IFERROR(G17/SUM($G$12:$G$41),0)</f>
        <v/>
      </c>
      <c r="I17" s="53">
        <f>IFERROR(SUMIF($G$12:$G$41,"&gt;="&amp;G17,$G$12:$G$41)/SUM($G$12:$G$41),0)</f>
        <v/>
      </c>
      <c r="P17" t="inlineStr">
        <is>
          <t>B | SKU06 | Storage NAS 40TB</t>
        </is>
      </c>
      <c r="Q17" t="n">
        <v>0</v>
      </c>
      <c r="R17" t="n">
        <v>37000</v>
      </c>
      <c r="S17" t="n">
        <v>0</v>
      </c>
      <c r="T17" t="n">
        <v>0.86259</v>
      </c>
    </row>
    <row r="18" ht="18" customHeight="1">
      <c r="A18" s="47">
        <f>IF($I18&lt;=$B$9,"A",IF($I18&lt;=$B$10,"B","C"))</f>
        <v/>
      </c>
      <c r="B18" s="48" t="inlineStr">
        <is>
          <t>SKU07</t>
        </is>
      </c>
      <c r="C18" s="48" t="n">
        <v>19</v>
      </c>
      <c r="D18" s="49" t="inlineStr">
        <is>
          <t>Memoria RAM 16GB</t>
        </is>
      </c>
      <c r="E18" s="50" t="n">
        <v>45</v>
      </c>
      <c r="F18" s="51" t="n">
        <v>380</v>
      </c>
      <c r="G18" s="52">
        <f>IFERROR(E18*F18,0)</f>
        <v/>
      </c>
      <c r="H18" s="53">
        <f>IFERROR(G18/SUM($G$12:$G$41),0)</f>
        <v/>
      </c>
      <c r="I18" s="53">
        <f>IFERROR(SUMIF($G$12:$G$41,"&gt;="&amp;G18,$G$12:$G$41)/SUM($G$12:$G$41),0)</f>
        <v/>
      </c>
      <c r="P18" t="inlineStr">
        <is>
          <t>B | SKU07 | Memoria RAM 16GB</t>
        </is>
      </c>
      <c r="Q18" t="n">
        <v>0</v>
      </c>
      <c r="R18" t="n">
        <v>17100</v>
      </c>
      <c r="S18" t="n">
        <v>0</v>
      </c>
      <c r="T18" t="n">
        <v>0.87905</v>
      </c>
    </row>
    <row r="19" ht="18" customHeight="1">
      <c r="A19" s="47">
        <f>IF($I19&lt;=$B$9,"A",IF($I19&lt;=$B$10,"B","C"))</f>
        <v/>
      </c>
      <c r="B19" s="48" t="inlineStr">
        <is>
          <t>SKU08</t>
        </is>
      </c>
      <c r="C19" s="48" t="n">
        <v>12</v>
      </c>
      <c r="D19" s="49" t="inlineStr">
        <is>
          <t>Toner Impressora Laser</t>
        </is>
      </c>
      <c r="E19" s="50" t="n">
        <v>40</v>
      </c>
      <c r="F19" s="51" t="n">
        <v>320</v>
      </c>
      <c r="G19" s="52">
        <f>IFERROR(E19*F19,0)</f>
        <v/>
      </c>
      <c r="H19" s="53">
        <f>IFERROR(G19/SUM($G$12:$G$41),0)</f>
        <v/>
      </c>
      <c r="I19" s="53">
        <f>IFERROR(SUMIF($G$12:$G$41,"&gt;="&amp;G19,$G$12:$G$41)/SUM($G$12:$G$41),0)</f>
        <v/>
      </c>
      <c r="P19" t="inlineStr">
        <is>
          <t>B | SKU08 | Toner Impressora Las</t>
        </is>
      </c>
      <c r="Q19" t="n">
        <v>0</v>
      </c>
      <c r="R19" t="n">
        <v>12800</v>
      </c>
      <c r="S19" t="n">
        <v>0</v>
      </c>
      <c r="T19" t="n">
        <v>0.89137</v>
      </c>
    </row>
    <row r="20" ht="18" customHeight="1">
      <c r="A20" s="47">
        <f>IF($I20&lt;=$B$9,"A",IF($I20&lt;=$B$10,"B","C"))</f>
        <v/>
      </c>
      <c r="B20" s="48" t="inlineStr">
        <is>
          <t>SKU09</t>
        </is>
      </c>
      <c r="C20" s="48" t="n">
        <v>4</v>
      </c>
      <c r="D20" s="49" t="inlineStr">
        <is>
          <t>Monitor LED 24"</t>
        </is>
      </c>
      <c r="E20" s="50" t="n">
        <v>15</v>
      </c>
      <c r="F20" s="51" t="n">
        <v>850</v>
      </c>
      <c r="G20" s="52">
        <f>IFERROR(E20*F20,0)</f>
        <v/>
      </c>
      <c r="H20" s="53">
        <f>IFERROR(G20/SUM($G$12:$G$41),0)</f>
        <v/>
      </c>
      <c r="I20" s="53">
        <f>IFERROR(SUMIF($G$12:$G$41,"&gt;="&amp;G20,$G$12:$G$41)/SUM($G$12:$G$41),0)</f>
        <v/>
      </c>
      <c r="P20" t="inlineStr">
        <is>
          <t>B | SKU09 | Monitor LED 24"</t>
        </is>
      </c>
      <c r="Q20" t="n">
        <v>0</v>
      </c>
      <c r="R20" t="n">
        <v>12750</v>
      </c>
      <c r="S20" t="n">
        <v>0</v>
      </c>
      <c r="T20" t="n">
        <v>0.90365</v>
      </c>
    </row>
    <row r="21" ht="18" customHeight="1">
      <c r="A21" s="47">
        <f>IF($I21&lt;=$B$9,"A",IF($I21&lt;=$B$10,"B","C"))</f>
        <v/>
      </c>
      <c r="B21" s="48" t="inlineStr">
        <is>
          <t>SKU10</t>
        </is>
      </c>
      <c r="C21" s="48" t="n">
        <v>11</v>
      </c>
      <c r="D21" s="49" t="inlineStr">
        <is>
          <t>Roteador Wi-Fi 6</t>
        </is>
      </c>
      <c r="E21" s="50" t="n">
        <v>25</v>
      </c>
      <c r="F21" s="51" t="n">
        <v>450</v>
      </c>
      <c r="G21" s="52">
        <f>IFERROR(E21*F21,0)</f>
        <v/>
      </c>
      <c r="H21" s="53">
        <f>IFERROR(G21/SUM($G$12:$G$41),0)</f>
        <v/>
      </c>
      <c r="I21" s="53">
        <f>IFERROR(SUMIF($G$12:$G$41,"&gt;="&amp;G21,$G$12:$G$41)/SUM($G$12:$G$41),0)</f>
        <v/>
      </c>
      <c r="P21" t="inlineStr">
        <is>
          <t>B | SKU10 | Roteador Wi-Fi 6</t>
        </is>
      </c>
      <c r="Q21" t="n">
        <v>0</v>
      </c>
      <c r="R21" t="n">
        <v>11250</v>
      </c>
      <c r="S21" t="n">
        <v>0</v>
      </c>
      <c r="T21" t="n">
        <v>0.91448</v>
      </c>
    </row>
    <row r="22" ht="18" customHeight="1">
      <c r="A22" s="47">
        <f>IF($I22&lt;=$B$9,"A",IF($I22&lt;=$B$10,"B","C"))</f>
        <v/>
      </c>
      <c r="B22" s="48" t="inlineStr">
        <is>
          <t>SKU11</t>
        </is>
      </c>
      <c r="C22" s="48" t="n">
        <v>15</v>
      </c>
      <c r="D22" s="49" t="inlineStr">
        <is>
          <t>SSD 480GB Sata</t>
        </is>
      </c>
      <c r="E22" s="50" t="n">
        <v>55</v>
      </c>
      <c r="F22" s="51" t="n">
        <v>190</v>
      </c>
      <c r="G22" s="52">
        <f>IFERROR(E22*F22,0)</f>
        <v/>
      </c>
      <c r="H22" s="53">
        <f>IFERROR(G22/SUM($G$12:$G$41),0)</f>
        <v/>
      </c>
      <c r="I22" s="53">
        <f>IFERROR(SUMIF($G$12:$G$41,"&gt;="&amp;G22,$G$12:$G$41)/SUM($G$12:$G$41),0)</f>
        <v/>
      </c>
      <c r="P22" t="inlineStr">
        <is>
          <t>B | SKU11 | SSD 480GB Sata</t>
        </is>
      </c>
      <c r="Q22" t="n">
        <v>0</v>
      </c>
      <c r="R22" t="n">
        <v>10450</v>
      </c>
      <c r="S22" t="n">
        <v>0</v>
      </c>
      <c r="T22" t="n">
        <v>0.92454</v>
      </c>
    </row>
    <row r="23" ht="18" customHeight="1">
      <c r="A23" s="47">
        <f>IF($I23&lt;=$B$9,"A",IF($I23&lt;=$B$10,"B","C"))</f>
        <v/>
      </c>
      <c r="B23" s="48" t="inlineStr">
        <is>
          <t>SKU12</t>
        </is>
      </c>
      <c r="C23" s="48" t="n">
        <v>6</v>
      </c>
      <c r="D23" s="49" t="inlineStr">
        <is>
          <t>Nobreak 1500VA</t>
        </is>
      </c>
      <c r="E23" s="50" t="n">
        <v>8</v>
      </c>
      <c r="F23" s="51" t="n">
        <v>1200</v>
      </c>
      <c r="G23" s="52">
        <f>IFERROR(E23*F23,0)</f>
        <v/>
      </c>
      <c r="H23" s="53">
        <f>IFERROR(G23/SUM($G$12:$G$41),0)</f>
        <v/>
      </c>
      <c r="I23" s="53">
        <f>IFERROR(SUMIF($G$12:$G$41,"&gt;="&amp;G23,$G$12:$G$41)/SUM($G$12:$G$41),0)</f>
        <v/>
      </c>
      <c r="P23" t="inlineStr">
        <is>
          <t>B | SKU12 | Nobreak 1500VA</t>
        </is>
      </c>
      <c r="Q23" t="n">
        <v>0</v>
      </c>
      <c r="R23" t="n">
        <v>9600</v>
      </c>
      <c r="S23" t="n">
        <v>0</v>
      </c>
      <c r="T23" t="n">
        <v>0.9337800000000001</v>
      </c>
    </row>
    <row r="24" ht="18" customHeight="1">
      <c r="A24" s="47">
        <f>IF($I24&lt;=$B$9,"A",IF($I24&lt;=$B$10,"B","C"))</f>
        <v/>
      </c>
      <c r="B24" s="48" t="inlineStr">
        <is>
          <t>SKU13</t>
        </is>
      </c>
      <c r="C24" s="48" t="n">
        <v>20</v>
      </c>
      <c r="D24" s="49" t="inlineStr">
        <is>
          <t>HD Externo 2TB</t>
        </is>
      </c>
      <c r="E24" s="50" t="n">
        <v>18</v>
      </c>
      <c r="F24" s="51" t="n">
        <v>420</v>
      </c>
      <c r="G24" s="52">
        <f>IFERROR(E24*F24,0)</f>
        <v/>
      </c>
      <c r="H24" s="53">
        <f>IFERROR(G24/SUM($G$12:$G$41),0)</f>
        <v/>
      </c>
      <c r="I24" s="53">
        <f>IFERROR(SUMIF($G$12:$G$41,"&gt;="&amp;G24,$G$12:$G$41)/SUM($G$12:$G$41),0)</f>
        <v/>
      </c>
      <c r="P24" t="inlineStr">
        <is>
          <t>B | SKU13 | HD Externo 2TB</t>
        </is>
      </c>
      <c r="Q24" t="n">
        <v>0</v>
      </c>
      <c r="R24" t="n">
        <v>7560</v>
      </c>
      <c r="S24" t="n">
        <v>0</v>
      </c>
      <c r="T24" t="n">
        <v>0.9410500000000001</v>
      </c>
    </row>
    <row r="25" ht="18" customHeight="1">
      <c r="A25" s="47">
        <f>IF($I25&lt;=$B$9,"A",IF($I25&lt;=$B$10,"B","C"))</f>
        <v/>
      </c>
      <c r="B25" s="48" t="inlineStr">
        <is>
          <t>SKU14</t>
        </is>
      </c>
      <c r="C25" s="48" t="n">
        <v>5</v>
      </c>
      <c r="D25" s="49" t="inlineStr">
        <is>
          <t>Teclado Mecanico RGB</t>
        </is>
      </c>
      <c r="E25" s="50" t="n">
        <v>30</v>
      </c>
      <c r="F25" s="51" t="n">
        <v>250</v>
      </c>
      <c r="G25" s="52">
        <f>IFERROR(E25*F25,0)</f>
        <v/>
      </c>
      <c r="H25" s="53">
        <f>IFERROR(G25/SUM($G$12:$G$41),0)</f>
        <v/>
      </c>
      <c r="I25" s="53">
        <f>IFERROR(SUMIF($G$12:$G$41,"&gt;="&amp;G25,$G$12:$G$41)/SUM($G$12:$G$41),0)</f>
        <v/>
      </c>
      <c r="P25" t="inlineStr">
        <is>
          <t>B | SKU14 | Teclado Mecanico RGB</t>
        </is>
      </c>
      <c r="Q25" t="n">
        <v>0</v>
      </c>
      <c r="R25" t="n">
        <v>7500</v>
      </c>
      <c r="S25" t="n">
        <v>0</v>
      </c>
      <c r="T25" t="n">
        <v>0.9482699999999999</v>
      </c>
    </row>
    <row r="26" ht="18" customHeight="1">
      <c r="A26" s="47">
        <f>IF($I26&lt;=$B$9,"A",IF($I26&lt;=$B$10,"B","C"))</f>
        <v/>
      </c>
      <c r="B26" s="48" t="inlineStr">
        <is>
          <t>SKU15</t>
        </is>
      </c>
      <c r="C26" s="48" t="n">
        <v>9</v>
      </c>
      <c r="D26" s="49" t="inlineStr">
        <is>
          <t>Pen Drive 64GB</t>
        </is>
      </c>
      <c r="E26" s="50" t="n">
        <v>150</v>
      </c>
      <c r="F26" s="51" t="n">
        <v>45</v>
      </c>
      <c r="G26" s="52">
        <f>IFERROR(E26*F26,0)</f>
        <v/>
      </c>
      <c r="H26" s="53">
        <f>IFERROR(G26/SUM($G$12:$G$41),0)</f>
        <v/>
      </c>
      <c r="I26" s="53">
        <f>IFERROR(SUMIF($G$12:$G$41,"&gt;="&amp;G26,$G$12:$G$41)/SUM($G$12:$G$41),0)</f>
        <v/>
      </c>
      <c r="P26" t="inlineStr">
        <is>
          <t>C | SKU15 | Pen Drive 64GB</t>
        </is>
      </c>
      <c r="Q26" t="n">
        <v>0</v>
      </c>
      <c r="R26" t="n">
        <v>0</v>
      </c>
      <c r="S26" t="n">
        <v>6750</v>
      </c>
      <c r="T26" t="n">
        <v>0.95477</v>
      </c>
    </row>
    <row r="27" ht="18" customHeight="1">
      <c r="A27" s="47">
        <f>IF($I27&lt;=$B$9,"A",IF($I27&lt;=$B$10,"B","C"))</f>
        <v/>
      </c>
      <c r="B27" s="48" t="inlineStr">
        <is>
          <t>SKU16</t>
        </is>
      </c>
      <c r="C27" s="48" t="n">
        <v>13</v>
      </c>
      <c r="D27" s="49" t="inlineStr">
        <is>
          <t>Headset com Microfone</t>
        </is>
      </c>
      <c r="E27" s="50" t="n">
        <v>60</v>
      </c>
      <c r="F27" s="51" t="n">
        <v>110</v>
      </c>
      <c r="G27" s="52">
        <f>IFERROR(E27*F27,0)</f>
        <v/>
      </c>
      <c r="H27" s="53">
        <f>IFERROR(G27/SUM($G$12:$G$41),0)</f>
        <v/>
      </c>
      <c r="I27" s="53">
        <f>IFERROR(SUMIF($G$12:$G$41,"&gt;="&amp;G27,$G$12:$G$41)/SUM($G$12:$G$41),0)</f>
        <v/>
      </c>
      <c r="P27" t="inlineStr">
        <is>
          <t>C | SKU16 | Headset com Microfon</t>
        </is>
      </c>
      <c r="Q27" t="n">
        <v>0</v>
      </c>
      <c r="R27" t="n">
        <v>0</v>
      </c>
      <c r="S27" t="n">
        <v>6600</v>
      </c>
      <c r="T27" t="n">
        <v>0.96113</v>
      </c>
    </row>
    <row r="28" ht="18" customHeight="1">
      <c r="A28" s="47">
        <f>IF($I28&lt;=$B$9,"A",IF($I28&lt;=$B$10,"B","C"))</f>
        <v/>
      </c>
      <c r="B28" s="48" t="inlineStr">
        <is>
          <t>SKU17</t>
        </is>
      </c>
      <c r="C28" s="48" t="n">
        <v>7</v>
      </c>
      <c r="D28" s="49" t="inlineStr">
        <is>
          <t>Pacote de Papel A4</t>
        </is>
      </c>
      <c r="E28" s="50" t="n">
        <v>200</v>
      </c>
      <c r="F28" s="51" t="n">
        <v>28</v>
      </c>
      <c r="G28" s="52">
        <f>IFERROR(E28*F28,0)</f>
        <v/>
      </c>
      <c r="H28" s="53">
        <f>IFERROR(G28/SUM($G$12:$G$41),0)</f>
        <v/>
      </c>
      <c r="I28" s="53">
        <f>IFERROR(SUMIF($G$12:$G$41,"&gt;="&amp;G28,$G$12:$G$41)/SUM($G$12:$G$41),0)</f>
        <v/>
      </c>
      <c r="P28" t="inlineStr">
        <is>
          <t>C | SKU17 | Pacote de Papel A4</t>
        </is>
      </c>
      <c r="Q28" t="n">
        <v>0</v>
      </c>
      <c r="R28" t="n">
        <v>0</v>
      </c>
      <c r="S28" t="n">
        <v>5600</v>
      </c>
      <c r="T28" t="n">
        <v>0.96652</v>
      </c>
    </row>
    <row r="29" ht="18" customHeight="1">
      <c r="A29" s="47">
        <f>IF($I29&lt;=$B$9,"A",IF($I29&lt;=$B$10,"B","C"))</f>
        <v/>
      </c>
      <c r="B29" s="48" t="inlineStr">
        <is>
          <t>SKU18</t>
        </is>
      </c>
      <c r="C29" s="48" t="n">
        <v>29</v>
      </c>
      <c r="D29" s="49" t="inlineStr">
        <is>
          <t>Teclado de Entrada</t>
        </is>
      </c>
      <c r="E29" s="50" t="n">
        <v>100</v>
      </c>
      <c r="F29" s="51" t="n">
        <v>45</v>
      </c>
      <c r="G29" s="52">
        <f>IFERROR(E29*F29,0)</f>
        <v/>
      </c>
      <c r="H29" s="53">
        <f>IFERROR(G29/SUM($G$12:$G$41),0)</f>
        <v/>
      </c>
      <c r="I29" s="53">
        <f>IFERROR(SUMIF($G$12:$G$41,"&gt;="&amp;G29,$G$12:$G$41)/SUM($G$12:$G$41),0)</f>
        <v/>
      </c>
      <c r="P29" t="inlineStr">
        <is>
          <t>C | SKU18 | Teclado de Entrada</t>
        </is>
      </c>
      <c r="Q29" t="n">
        <v>0</v>
      </c>
      <c r="R29" t="n">
        <v>0</v>
      </c>
      <c r="S29" t="n">
        <v>4500</v>
      </c>
      <c r="T29" t="n">
        <v>0.97085</v>
      </c>
    </row>
    <row r="30" ht="18" customHeight="1">
      <c r="A30" s="47">
        <f>IF($I30&lt;=$B$9,"A",IF($I30&lt;=$B$10,"B","C"))</f>
        <v/>
      </c>
      <c r="B30" s="48" t="inlineStr">
        <is>
          <t>SKU19</t>
        </is>
      </c>
      <c r="C30" s="48" t="n">
        <v>18</v>
      </c>
      <c r="D30" s="49" t="inlineStr">
        <is>
          <t>Filtro de Linha</t>
        </is>
      </c>
      <c r="E30" s="50" t="n">
        <v>110</v>
      </c>
      <c r="F30" s="51" t="n">
        <v>40</v>
      </c>
      <c r="G30" s="52">
        <f>IFERROR(E30*F30,0)</f>
        <v/>
      </c>
      <c r="H30" s="53">
        <f>IFERROR(G30/SUM($G$12:$G$41),0)</f>
        <v/>
      </c>
      <c r="I30" s="53">
        <f>IFERROR(SUMIF($G$12:$G$41,"&gt;="&amp;G30,$G$12:$G$41)/SUM($G$12:$G$41),0)</f>
        <v/>
      </c>
      <c r="P30" t="inlineStr">
        <is>
          <t>C | SKU19 | Filtro de Linha</t>
        </is>
      </c>
      <c r="Q30" t="n">
        <v>0</v>
      </c>
      <c r="R30" t="n">
        <v>0</v>
      </c>
      <c r="S30" t="n">
        <v>4400</v>
      </c>
      <c r="T30" t="n">
        <v>0.9750799999999999</v>
      </c>
    </row>
    <row r="31" ht="18" customHeight="1">
      <c r="A31" s="47">
        <f>IF($I31&lt;=$B$9,"A",IF($I31&lt;=$B$10,"B","C"))</f>
        <v/>
      </c>
      <c r="B31" s="48" t="inlineStr">
        <is>
          <t>SKU20</t>
        </is>
      </c>
      <c r="C31" s="48" t="n">
        <v>14</v>
      </c>
      <c r="D31" s="49" t="inlineStr">
        <is>
          <t>Webcam Full HD</t>
        </is>
      </c>
      <c r="E31" s="50" t="n">
        <v>22</v>
      </c>
      <c r="F31" s="51" t="n">
        <v>180</v>
      </c>
      <c r="G31" s="52">
        <f>IFERROR(E31*F31,0)</f>
        <v/>
      </c>
      <c r="H31" s="53">
        <f>IFERROR(G31/SUM($G$12:$G$41),0)</f>
        <v/>
      </c>
      <c r="I31" s="53">
        <f>IFERROR(SUMIF($G$12:$G$41,"&gt;="&amp;G31,$G$12:$G$41)/SUM($G$12:$G$41),0)</f>
        <v/>
      </c>
      <c r="P31" t="inlineStr">
        <is>
          <t>C | SKU20 | Webcam Full HD</t>
        </is>
      </c>
      <c r="Q31" t="n">
        <v>0</v>
      </c>
      <c r="R31" t="n">
        <v>0</v>
      </c>
      <c r="S31" t="n">
        <v>3960</v>
      </c>
      <c r="T31" t="n">
        <v>0.97889</v>
      </c>
    </row>
    <row r="32" ht="18" customHeight="1">
      <c r="A32" s="47">
        <f>IF($I32&lt;=$B$9,"A",IF($I32&lt;=$B$10,"B","C"))</f>
        <v/>
      </c>
      <c r="B32" s="48" t="inlineStr">
        <is>
          <t>SKU21</t>
        </is>
      </c>
      <c r="C32" s="48" t="n">
        <v>23</v>
      </c>
      <c r="D32" s="49" t="inlineStr">
        <is>
          <t>Pilhas AA (Pacote)</t>
        </is>
      </c>
      <c r="E32" s="50" t="n">
        <v>300</v>
      </c>
      <c r="F32" s="51" t="n">
        <v>12</v>
      </c>
      <c r="G32" s="52">
        <f>IFERROR(E32*F32,0)</f>
        <v/>
      </c>
      <c r="H32" s="53">
        <f>IFERROR(G32/SUM($G$12:$G$41),0)</f>
        <v/>
      </c>
      <c r="I32" s="53">
        <f>IFERROR(SUMIF($G$12:$G$41,"&gt;="&amp;G32,$G$12:$G$41)/SUM($G$12:$G$41),0)</f>
        <v/>
      </c>
      <c r="P32" t="inlineStr">
        <is>
          <t>C | SKU21 | Pilhas AA (Pacote)</t>
        </is>
      </c>
      <c r="Q32" t="n">
        <v>0</v>
      </c>
      <c r="R32" t="n">
        <v>0</v>
      </c>
      <c r="S32" t="n">
        <v>3600</v>
      </c>
      <c r="T32" t="n">
        <v>0.98236</v>
      </c>
    </row>
    <row r="33" ht="18" customHeight="1">
      <c r="A33" s="47">
        <f>IF($I33&lt;=$B$9,"A",IF($I33&lt;=$B$10,"B","C"))</f>
        <v/>
      </c>
      <c r="B33" s="48" t="inlineStr">
        <is>
          <t>SKU22</t>
        </is>
      </c>
      <c r="C33" s="48" t="n">
        <v>16</v>
      </c>
      <c r="D33" s="49" t="inlineStr">
        <is>
          <t>Adaptador USB-C</t>
        </is>
      </c>
      <c r="E33" s="50" t="n">
        <v>90</v>
      </c>
      <c r="F33" s="51" t="n">
        <v>35</v>
      </c>
      <c r="G33" s="52">
        <f>IFERROR(E33*F33,0)</f>
        <v/>
      </c>
      <c r="H33" s="53">
        <f>IFERROR(G33/SUM($G$12:$G$41),0)</f>
        <v/>
      </c>
      <c r="I33" s="53">
        <f>IFERROR(SUMIF($G$12:$G$41,"&gt;="&amp;G33,$G$12:$G$41)/SUM($G$12:$G$41),0)</f>
        <v/>
      </c>
      <c r="P33" t="inlineStr">
        <is>
          <t>C | SKU22 | Adaptador USB-C</t>
        </is>
      </c>
      <c r="Q33" t="n">
        <v>0</v>
      </c>
      <c r="R33" t="n">
        <v>0</v>
      </c>
      <c r="S33" t="n">
        <v>3150</v>
      </c>
      <c r="T33" t="n">
        <v>0.98539</v>
      </c>
    </row>
    <row r="34" ht="18" customHeight="1">
      <c r="A34" s="47">
        <f>IF($I34&lt;=$B$9,"A",IF($I34&lt;=$B$10,"B","C"))</f>
        <v/>
      </c>
      <c r="B34" s="48" t="inlineStr">
        <is>
          <t>SKU23</t>
        </is>
      </c>
      <c r="C34" s="48" t="n">
        <v>28</v>
      </c>
      <c r="D34" s="49" t="inlineStr">
        <is>
          <t>Suporte para Monitor</t>
        </is>
      </c>
      <c r="E34" s="50" t="n">
        <v>20</v>
      </c>
      <c r="F34" s="51" t="n">
        <v>140</v>
      </c>
      <c r="G34" s="52">
        <f>IFERROR(E34*F34,0)</f>
        <v/>
      </c>
      <c r="H34" s="53">
        <f>IFERROR(G34/SUM($G$12:$G$41),0)</f>
        <v/>
      </c>
      <c r="I34" s="53">
        <f>IFERROR(SUMIF($G$12:$G$41,"&gt;="&amp;G34,$G$12:$G$41)/SUM($G$12:$G$41),0)</f>
        <v/>
      </c>
      <c r="P34" t="inlineStr">
        <is>
          <t>C | SKU23 | Suporte para Monitor</t>
        </is>
      </c>
      <c r="Q34" t="n">
        <v>0</v>
      </c>
      <c r="R34" t="n">
        <v>0</v>
      </c>
      <c r="S34" t="n">
        <v>2800</v>
      </c>
      <c r="T34" t="n">
        <v>0.98809</v>
      </c>
    </row>
    <row r="35" ht="18" customHeight="1">
      <c r="A35" s="47">
        <f>IF($I35&lt;=$B$9,"A",IF($I35&lt;=$B$10,"B","C"))</f>
        <v/>
      </c>
      <c r="B35" s="48" t="inlineStr">
        <is>
          <t>SKU24</t>
        </is>
      </c>
      <c r="C35" s="48" t="n">
        <v>1</v>
      </c>
      <c r="D35" s="49" t="inlineStr">
        <is>
          <t>Cabo HDMI 2m</t>
        </is>
      </c>
      <c r="E35" s="50" t="n">
        <v>85</v>
      </c>
      <c r="F35" s="51" t="n">
        <v>25</v>
      </c>
      <c r="G35" s="52">
        <f>IFERROR(E35*F35,0)</f>
        <v/>
      </c>
      <c r="H35" s="53">
        <f>IFERROR(G35/SUM($G$12:$G$41),0)</f>
        <v/>
      </c>
      <c r="I35" s="53">
        <f>IFERROR(SUMIF($G$12:$G$41,"&gt;="&amp;G35,$G$12:$G$41)/SUM($G$12:$G$41),0)</f>
        <v/>
      </c>
      <c r="P35" t="inlineStr">
        <is>
          <t>C | SKU24 | Cabo HDMI 2m</t>
        </is>
      </c>
      <c r="Q35" t="n">
        <v>0</v>
      </c>
      <c r="R35" t="n">
        <v>0</v>
      </c>
      <c r="S35" t="n">
        <v>2125</v>
      </c>
      <c r="T35" t="n">
        <v>0.99013</v>
      </c>
    </row>
    <row r="36" ht="18" customHeight="1">
      <c r="A36" s="47">
        <f>IF($I36&lt;=$B$9,"A",IF($I36&lt;=$B$10,"B","C"))</f>
        <v/>
      </c>
      <c r="B36" s="48" t="inlineStr">
        <is>
          <t>SKU25</t>
        </is>
      </c>
      <c r="C36" s="48" t="n">
        <v>24</v>
      </c>
      <c r="D36" s="49" t="inlineStr">
        <is>
          <t>Mousepad Simples</t>
        </is>
      </c>
      <c r="E36" s="50" t="n">
        <v>250</v>
      </c>
      <c r="F36" s="51" t="n">
        <v>8</v>
      </c>
      <c r="G36" s="52">
        <f>IFERROR(E36*F36,0)</f>
        <v/>
      </c>
      <c r="H36" s="53">
        <f>IFERROR(G36/SUM($G$12:$G$41),0)</f>
        <v/>
      </c>
      <c r="I36" s="53">
        <f>IFERROR(SUMIF($G$12:$G$41,"&gt;="&amp;G36,$G$12:$G$41)/SUM($G$12:$G$41),0)</f>
        <v/>
      </c>
      <c r="P36" t="inlineStr">
        <is>
          <t>C | SKU25 | Mousepad Simples</t>
        </is>
      </c>
      <c r="Q36" t="n">
        <v>0</v>
      </c>
      <c r="R36" t="n">
        <v>0</v>
      </c>
      <c r="S36" t="n">
        <v>2000</v>
      </c>
      <c r="T36" t="n">
        <v>0.9920600000000001</v>
      </c>
    </row>
    <row r="37" ht="18" customHeight="1">
      <c r="A37" s="47">
        <f>IF($I37&lt;=$B$9,"A",IF($I37&lt;=$B$10,"B","C"))</f>
        <v/>
      </c>
      <c r="B37" s="48" t="inlineStr">
        <is>
          <t>SKU26</t>
        </is>
      </c>
      <c r="C37" s="48" t="n">
        <v>3</v>
      </c>
      <c r="D37" s="49" t="inlineStr">
        <is>
          <t>Mouse Optico Simples</t>
        </is>
      </c>
      <c r="E37" s="50" t="n">
        <v>120</v>
      </c>
      <c r="F37" s="51" t="n">
        <v>15</v>
      </c>
      <c r="G37" s="52">
        <f>IFERROR(E37*F37,0)</f>
        <v/>
      </c>
      <c r="H37" s="53">
        <f>IFERROR(G37/SUM($G$12:$G$41),0)</f>
        <v/>
      </c>
      <c r="I37" s="53">
        <f>IFERROR(SUMIF($G$12:$G$41,"&gt;="&amp;G37,$G$12:$G$41)/SUM($G$12:$G$41),0)</f>
        <v/>
      </c>
      <c r="P37" t="inlineStr">
        <is>
          <t>C | SKU26 | Mouse Optico Simples</t>
        </is>
      </c>
      <c r="Q37" t="n">
        <v>0</v>
      </c>
      <c r="R37" t="n">
        <v>0</v>
      </c>
      <c r="S37" t="n">
        <v>1800</v>
      </c>
      <c r="T37" t="n">
        <v>0.99379</v>
      </c>
    </row>
    <row r="38" ht="18" customHeight="1">
      <c r="A38" s="47">
        <f>IF($I38&lt;=$B$9,"A",IF($I38&lt;=$B$10,"B","C"))</f>
        <v/>
      </c>
      <c r="B38" s="48" t="inlineStr">
        <is>
          <t>SKU27</t>
        </is>
      </c>
      <c r="C38" s="48" t="n">
        <v>25</v>
      </c>
      <c r="D38" s="49" t="inlineStr">
        <is>
          <t>Organizador de Cabos</t>
        </is>
      </c>
      <c r="E38" s="50" t="n">
        <v>180</v>
      </c>
      <c r="F38" s="51" t="n">
        <v>10</v>
      </c>
      <c r="G38" s="52">
        <f>IFERROR(E38*F38,0)</f>
        <v/>
      </c>
      <c r="H38" s="53">
        <f>IFERROR(G38/SUM($G$12:$G$41),0)</f>
        <v/>
      </c>
      <c r="I38" s="53">
        <f>IFERROR(SUMIF($G$12:$G$41,"&gt;="&amp;G38,$G$12:$G$41)/SUM($G$12:$G$41),0)</f>
        <v/>
      </c>
      <c r="P38" t="inlineStr">
        <is>
          <t>C | SKU27 | Organizador de Cabos</t>
        </is>
      </c>
      <c r="Q38" t="n">
        <v>0</v>
      </c>
      <c r="R38" t="n">
        <v>0</v>
      </c>
      <c r="S38" t="n">
        <v>1800</v>
      </c>
      <c r="T38" t="n">
        <v>0.99552</v>
      </c>
    </row>
    <row r="39" ht="18" customHeight="1">
      <c r="A39" s="47">
        <f>IF($I39&lt;=$B$9,"A",IF($I39&lt;=$B$10,"B","C"))</f>
        <v/>
      </c>
      <c r="B39" s="48" t="inlineStr">
        <is>
          <t>SKU28</t>
        </is>
      </c>
      <c r="C39" s="48" t="n">
        <v>27</v>
      </c>
      <c r="D39" s="49" t="inlineStr">
        <is>
          <t>Ar comprimido (Lata)</t>
        </is>
      </c>
      <c r="E39" s="50" t="n">
        <v>35</v>
      </c>
      <c r="F39" s="51" t="n">
        <v>45</v>
      </c>
      <c r="G39" s="52">
        <f>IFERROR(E39*F39,0)</f>
        <v/>
      </c>
      <c r="H39" s="53">
        <f>IFERROR(G39/SUM($G$12:$G$41),0)</f>
        <v/>
      </c>
      <c r="I39" s="53">
        <f>IFERROR(SUMIF($G$12:$G$41,"&gt;="&amp;G39,$G$12:$G$41)/SUM($G$12:$G$41),0)</f>
        <v/>
      </c>
      <c r="P39" t="inlineStr">
        <is>
          <t>C | SKU28 | Ar comprimido (Lata)</t>
        </is>
      </c>
      <c r="Q39" t="n">
        <v>0</v>
      </c>
      <c r="R39" t="n">
        <v>0</v>
      </c>
      <c r="S39" t="n">
        <v>1575</v>
      </c>
      <c r="T39" t="n">
        <v>0.99704</v>
      </c>
    </row>
    <row r="40" ht="18" customHeight="1">
      <c r="A40" s="47">
        <f>IF($I40&lt;=$B$9,"A",IF($I40&lt;=$B$10,"B","C"))</f>
        <v/>
      </c>
      <c r="B40" s="48" t="inlineStr">
        <is>
          <t>SKU29</t>
        </is>
      </c>
      <c r="C40" s="48" t="n">
        <v>26</v>
      </c>
      <c r="D40" s="49" t="inlineStr">
        <is>
          <t>Pasta Termica</t>
        </is>
      </c>
      <c r="E40" s="50" t="n">
        <v>45</v>
      </c>
      <c r="F40" s="51" t="n">
        <v>35</v>
      </c>
      <c r="G40" s="52">
        <f>IFERROR(E40*F40,0)</f>
        <v/>
      </c>
      <c r="H40" s="53">
        <f>IFERROR(G40/SUM($G$12:$G$41),0)</f>
        <v/>
      </c>
      <c r="I40" s="53">
        <f>IFERROR(SUMIF($G$12:$G$41,"&gt;="&amp;G40,$G$12:$G$41)/SUM($G$12:$G$41),0)</f>
        <v/>
      </c>
      <c r="P40" t="inlineStr">
        <is>
          <t>C | SKU29 | Pasta Termica</t>
        </is>
      </c>
      <c r="Q40" t="n">
        <v>0</v>
      </c>
      <c r="R40" t="n">
        <v>0</v>
      </c>
      <c r="S40" t="n">
        <v>1575</v>
      </c>
      <c r="T40" t="n">
        <v>0.99856</v>
      </c>
    </row>
    <row r="41" ht="18" customHeight="1">
      <c r="A41" s="47">
        <f>IF($I41&lt;=$B$9,"A",IF($I41&lt;=$B$10,"B","C"))</f>
        <v/>
      </c>
      <c r="B41" s="48" t="inlineStr">
        <is>
          <t>SKU30</t>
        </is>
      </c>
      <c r="C41" s="48" t="n">
        <v>30</v>
      </c>
      <c r="D41" s="49" t="inlineStr">
        <is>
          <t>Conector RJ45 (Cento)</t>
        </is>
      </c>
      <c r="E41" s="50" t="n">
        <v>50</v>
      </c>
      <c r="F41" s="51" t="n">
        <v>30</v>
      </c>
      <c r="G41" s="52">
        <f>IFERROR(E41*F41,0)</f>
        <v/>
      </c>
      <c r="H41" s="53">
        <f>IFERROR(G41/SUM($G$12:$G$41),0)</f>
        <v/>
      </c>
      <c r="I41" s="53">
        <f>IFERROR(SUMIF($G$12:$G$41,"&gt;="&amp;G41,$G$12:$G$41)/SUM($G$12:$G$41),0)</f>
        <v/>
      </c>
      <c r="P41" t="inlineStr">
        <is>
          <t>C | SKU30 | Conector RJ45 (Cento</t>
        </is>
      </c>
      <c r="Q41" t="n">
        <v>0</v>
      </c>
      <c r="R41" t="n">
        <v>0</v>
      </c>
      <c r="S41" t="n">
        <v>1500</v>
      </c>
      <c r="T41" t="n">
        <v>1</v>
      </c>
    </row>
    <row r="42" ht="24" customHeight="1">
      <c r="A42" s="54" t="inlineStr">
        <is>
          <t>TOTAL GERAL</t>
        </is>
      </c>
      <c r="B42" s="55" t="n"/>
      <c r="C42" s="55" t="n"/>
      <c r="D42" s="55" t="n"/>
      <c r="E42" s="56">
        <f>SUM(E12:E41)</f>
        <v/>
      </c>
      <c r="F42" s="57" t="n"/>
      <c r="G42" s="58">
        <f>SUM(G12:G41)</f>
        <v/>
      </c>
      <c r="H42" s="59" t="n">
        <v>1</v>
      </c>
      <c r="I42" s="59" t="n">
        <v>1</v>
      </c>
    </row>
    <row r="43" ht="18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B1"/>
  <mergeCells count="21">
    <mergeCell ref="C6:D6"/>
    <mergeCell ref="C5:D5"/>
    <mergeCell ref="E5:F5"/>
    <mergeCell ref="J1:N1"/>
    <mergeCell ref="A6:B6"/>
    <mergeCell ref="C4:D4"/>
    <mergeCell ref="E4:F4"/>
    <mergeCell ref="A42:D42"/>
    <mergeCell ref="A8:I8"/>
    <mergeCell ref="G6:H6"/>
    <mergeCell ref="A3:B3"/>
    <mergeCell ref="G3:H3"/>
    <mergeCell ref="E6:F6"/>
    <mergeCell ref="A5:B5"/>
    <mergeCell ref="G5:H5"/>
    <mergeCell ref="A4:B4"/>
    <mergeCell ref="G4:H4"/>
    <mergeCell ref="A1:I1"/>
    <mergeCell ref="K8:N8"/>
    <mergeCell ref="C3:D3"/>
    <mergeCell ref="E3:F3"/>
  </mergeCells>
  <conditionalFormatting sqref="A12:I41">
    <cfRule type="expression" priority="1" dxfId="0">
      <formula>$A12="A"</formula>
    </cfRule>
    <cfRule type="expression" priority="3" dxfId="1">
      <formula>$A12="B"</formula>
    </cfRule>
    <cfRule type="expression" priority="5" dxfId="2">
      <formula>$A12="C"</formula>
    </cfRule>
  </conditionalFormatting>
  <conditionalFormatting sqref="A12:A41">
    <cfRule type="expression" priority="2" dxfId="3">
      <formula>$A12="A"</formula>
    </cfRule>
    <cfRule type="expression" priority="4" dxfId="4">
      <formula>$A12="B"</formula>
    </cfRule>
    <cfRule type="expression" priority="6" dxfId="5">
      <formula>$A12="C"</formula>
    </cfRule>
  </conditionalFormatting>
  <dataValidations count="2">
    <dataValidation sqref="B9" showDropDown="0" showInputMessage="1" showErrorMessage="1" allowBlank="0" errorTitle="Valor invalido" error="Digite um decimal entre 0,50 e 0.89 (ex: 0,80 para 80%)" promptTitle="Limite da Curva ABC" prompt="Formato decimal. Ex: 0,80 = 80%" type="decimal" operator="between">
      <formula1>0.5</formula1>
      <formula2>0.89</formula2>
    </dataValidation>
    <dataValidation sqref="B10" showDropDown="0" showInputMessage="1" showErrorMessage="1" allowBlank="0" errorTitle="Valor invalido" error="Digite um decimal entre 0,50 e 0.99 (ex: 0,80 para 80%)" promptTitle="Limite da Curva ABC" prompt="Formato decimal. Ex: 0,80 = 80%" type="decimal" operator="between">
      <formula1>0.5</formula1>
      <formula2>0.99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8A400"/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cols>
    <col width="4.8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1.2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1.2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1.2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1.2" customWidth="1" min="32" max="32"/>
    <col width="4.8" customWidth="1" min="33" max="33"/>
  </cols>
  <sheetData>
    <row r="1" ht="8" customHeight="1">
      <c r="A1" s="4" t="n"/>
      <c r="B1" s="3" t="n"/>
      <c r="C1" s="5" t="n"/>
      <c r="D1" s="6" t="n"/>
      <c r="E1" s="4" t="n"/>
      <c r="F1" s="3" t="n"/>
      <c r="G1" s="5" t="n"/>
      <c r="H1" s="6" t="n"/>
      <c r="I1" s="4" t="n"/>
      <c r="J1" s="3" t="n"/>
      <c r="K1" s="5" t="n"/>
      <c r="L1" s="6" t="n"/>
      <c r="M1" s="4" t="n"/>
      <c r="N1" s="3" t="n"/>
      <c r="O1" s="5" t="n"/>
      <c r="P1" s="6" t="n"/>
      <c r="Q1" s="4" t="n"/>
      <c r="R1" s="3" t="n"/>
      <c r="S1" s="5" t="n"/>
      <c r="T1" s="6" t="n"/>
      <c r="U1" s="4" t="n"/>
      <c r="V1" s="3" t="n"/>
      <c r="W1" s="5" t="n"/>
      <c r="X1" s="6" t="n"/>
      <c r="Y1" s="4" t="n"/>
      <c r="Z1" s="3" t="n"/>
      <c r="AA1" s="5" t="n"/>
      <c r="AB1" s="6" t="n"/>
      <c r="AC1" s="4" t="n"/>
      <c r="AD1" s="3" t="n"/>
      <c r="AE1" s="5" t="n"/>
      <c r="AF1" s="6" t="n"/>
      <c r="AG1" s="4" t="n"/>
    </row>
    <row r="2" ht="52" customHeight="1">
      <c r="A2" s="60" t="inlineStr">
        <is>
          <t>CALENDARIO 2026  —  One Love, One Excel!  |  Curva ABC Reggae</t>
        </is>
      </c>
      <c r="AG2" s="61" t="n"/>
    </row>
    <row r="3" ht="8" customHeight="1">
      <c r="A3" s="5" t="n"/>
      <c r="B3" s="3" t="n"/>
      <c r="C3" s="4" t="n"/>
      <c r="D3" s="6" t="n"/>
      <c r="E3" s="5" t="n"/>
      <c r="F3" s="3" t="n"/>
      <c r="G3" s="4" t="n"/>
      <c r="H3" s="6" t="n"/>
      <c r="I3" s="5" t="n"/>
      <c r="J3" s="3" t="n"/>
      <c r="K3" s="4" t="n"/>
      <c r="L3" s="6" t="n"/>
      <c r="M3" s="5" t="n"/>
      <c r="N3" s="3" t="n"/>
      <c r="O3" s="4" t="n"/>
      <c r="P3" s="6" t="n"/>
      <c r="Q3" s="5" t="n"/>
      <c r="R3" s="3" t="n"/>
      <c r="S3" s="4" t="n"/>
      <c r="T3" s="6" t="n"/>
      <c r="U3" s="5" t="n"/>
      <c r="V3" s="3" t="n"/>
      <c r="W3" s="4" t="n"/>
      <c r="X3" s="6" t="n"/>
      <c r="Y3" s="5" t="n"/>
      <c r="Z3" s="3" t="n"/>
      <c r="AA3" s="4" t="n"/>
      <c r="AB3" s="6" t="n"/>
      <c r="AC3" s="5" t="n"/>
      <c r="AD3" s="3" t="n"/>
      <c r="AE3" s="4" t="n"/>
      <c r="AF3" s="6" t="n"/>
      <c r="AG3" s="5" t="n"/>
    </row>
    <row r="4" ht="18" customHeight="1">
      <c r="A4" s="62" t="inlineStr">
        <is>
          <t xml:space="preserve">  Classe A = revisar diariamente   |   Classe B = revisar semanalmente   |   Classe C = revisar mensalmente   |   Dias marcados = sugestao de inventario rotativo</t>
        </is>
      </c>
      <c r="AG4" s="61" t="n"/>
    </row>
    <row r="5" ht="8" customHeight="1">
      <c r="A5" s="61" t="n"/>
      <c r="B5" s="61" t="n"/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1" t="n"/>
      <c r="Z5" s="61" t="n"/>
      <c r="AA5" s="61" t="n"/>
      <c r="AB5" s="61" t="n"/>
      <c r="AC5" s="61" t="n"/>
      <c r="AD5" s="61" t="n"/>
      <c r="AE5" s="61" t="n"/>
      <c r="AF5" s="61" t="n"/>
      <c r="AG5" s="61" t="n"/>
    </row>
    <row r="6" ht="22" customHeight="1">
      <c r="A6" s="63" t="inlineStr">
        <is>
          <t>JANEIRO 2026</t>
        </is>
      </c>
      <c r="H6" s="61" t="n"/>
      <c r="I6" s="63" t="inlineStr">
        <is>
          <t>FEVEREIRO 2026</t>
        </is>
      </c>
      <c r="P6" s="61" t="n"/>
      <c r="Q6" s="63" t="inlineStr">
        <is>
          <t>MARCO 2026</t>
        </is>
      </c>
      <c r="X6" s="61" t="n"/>
      <c r="Y6" s="64" t="inlineStr">
        <is>
          <t>ABRIL 2026</t>
        </is>
      </c>
      <c r="AF6" s="61" t="n"/>
      <c r="AG6" s="61" t="n"/>
    </row>
    <row r="7" ht="16" customHeight="1">
      <c r="A7" s="65" t="inlineStr">
        <is>
          <t>Seg</t>
        </is>
      </c>
      <c r="B7" s="65" t="inlineStr">
        <is>
          <t>Ter</t>
        </is>
      </c>
      <c r="C7" s="65" t="inlineStr">
        <is>
          <t>Qua</t>
        </is>
      </c>
      <c r="D7" s="65" t="inlineStr">
        <is>
          <t>Qui</t>
        </is>
      </c>
      <c r="E7" s="65" t="inlineStr">
        <is>
          <t>Sex</t>
        </is>
      </c>
      <c r="F7" s="66" t="inlineStr">
        <is>
          <t>Sab</t>
        </is>
      </c>
      <c r="G7" s="66" t="inlineStr">
        <is>
          <t>Dom</t>
        </is>
      </c>
      <c r="H7" s="61" t="n"/>
      <c r="I7" s="65" t="inlineStr">
        <is>
          <t>Seg</t>
        </is>
      </c>
      <c r="J7" s="65" t="inlineStr">
        <is>
          <t>Ter</t>
        </is>
      </c>
      <c r="K7" s="65" t="inlineStr">
        <is>
          <t>Qua</t>
        </is>
      </c>
      <c r="L7" s="65" t="inlineStr">
        <is>
          <t>Qui</t>
        </is>
      </c>
      <c r="M7" s="65" t="inlineStr">
        <is>
          <t>Sex</t>
        </is>
      </c>
      <c r="N7" s="66" t="inlineStr">
        <is>
          <t>Sab</t>
        </is>
      </c>
      <c r="O7" s="66" t="inlineStr">
        <is>
          <t>Dom</t>
        </is>
      </c>
      <c r="P7" s="61" t="n"/>
      <c r="Q7" s="65" t="inlineStr">
        <is>
          <t>Seg</t>
        </is>
      </c>
      <c r="R7" s="65" t="inlineStr">
        <is>
          <t>Ter</t>
        </is>
      </c>
      <c r="S7" s="65" t="inlineStr">
        <is>
          <t>Qua</t>
        </is>
      </c>
      <c r="T7" s="65" t="inlineStr">
        <is>
          <t>Qui</t>
        </is>
      </c>
      <c r="U7" s="65" t="inlineStr">
        <is>
          <t>Sex</t>
        </is>
      </c>
      <c r="V7" s="66" t="inlineStr">
        <is>
          <t>Sab</t>
        </is>
      </c>
      <c r="W7" s="66" t="inlineStr">
        <is>
          <t>Dom</t>
        </is>
      </c>
      <c r="X7" s="61" t="n"/>
      <c r="Y7" s="65" t="inlineStr">
        <is>
          <t>Seg</t>
        </is>
      </c>
      <c r="Z7" s="65" t="inlineStr">
        <is>
          <t>Ter</t>
        </is>
      </c>
      <c r="AA7" s="65" t="inlineStr">
        <is>
          <t>Qua</t>
        </is>
      </c>
      <c r="AB7" s="65" t="inlineStr">
        <is>
          <t>Qui</t>
        </is>
      </c>
      <c r="AC7" s="65" t="inlineStr">
        <is>
          <t>Sex</t>
        </is>
      </c>
      <c r="AD7" s="66" t="inlineStr">
        <is>
          <t>Sab</t>
        </is>
      </c>
      <c r="AE7" s="66" t="inlineStr">
        <is>
          <t>Dom</t>
        </is>
      </c>
      <c r="AF7" s="61" t="n"/>
      <c r="AG7" s="61" t="n"/>
    </row>
    <row r="8" ht="15" customHeight="1">
      <c r="A8" s="67" t="inlineStr"/>
      <c r="B8" s="67" t="inlineStr"/>
      <c r="C8" s="67" t="inlineStr"/>
      <c r="D8" s="68" t="n">
        <v>1</v>
      </c>
      <c r="E8" s="69" t="n">
        <v>2</v>
      </c>
      <c r="F8" s="70" t="n">
        <v>3</v>
      </c>
      <c r="G8" s="70" t="n">
        <v>4</v>
      </c>
      <c r="H8" s="61" t="n"/>
      <c r="I8" s="67" t="inlineStr"/>
      <c r="J8" s="67" t="inlineStr"/>
      <c r="K8" s="67" t="inlineStr"/>
      <c r="L8" s="67" t="inlineStr"/>
      <c r="M8" s="67" t="inlineStr"/>
      <c r="N8" s="67" t="inlineStr"/>
      <c r="O8" s="71" t="n">
        <v>1</v>
      </c>
      <c r="P8" s="61" t="n"/>
      <c r="Q8" s="67" t="inlineStr"/>
      <c r="R8" s="67" t="inlineStr"/>
      <c r="S8" s="67" t="inlineStr"/>
      <c r="T8" s="67" t="inlineStr"/>
      <c r="U8" s="67" t="inlineStr"/>
      <c r="V8" s="67" t="inlineStr"/>
      <c r="W8" s="71" t="n">
        <v>1</v>
      </c>
      <c r="X8" s="61" t="n"/>
      <c r="Y8" s="67" t="inlineStr"/>
      <c r="Z8" s="67" t="inlineStr"/>
      <c r="AA8" s="68" t="n">
        <v>1</v>
      </c>
      <c r="AB8" s="69" t="n">
        <v>2</v>
      </c>
      <c r="AC8" s="69" t="n">
        <v>3</v>
      </c>
      <c r="AD8" s="70" t="n">
        <v>4</v>
      </c>
      <c r="AE8" s="70" t="n">
        <v>5</v>
      </c>
      <c r="AF8" s="61" t="n"/>
      <c r="AG8" s="61" t="n"/>
    </row>
    <row r="9" ht="15" customHeight="1">
      <c r="A9" s="69" t="n">
        <v>5</v>
      </c>
      <c r="B9" s="69" t="n">
        <v>6</v>
      </c>
      <c r="C9" s="69" t="n">
        <v>7</v>
      </c>
      <c r="D9" s="68" t="n">
        <v>8</v>
      </c>
      <c r="E9" s="69" t="n">
        <v>9</v>
      </c>
      <c r="F9" s="70" t="n">
        <v>10</v>
      </c>
      <c r="G9" s="70" t="n">
        <v>11</v>
      </c>
      <c r="H9" s="61" t="n"/>
      <c r="I9" s="69" t="n">
        <v>2</v>
      </c>
      <c r="J9" s="69" t="n">
        <v>3</v>
      </c>
      <c r="K9" s="69" t="n">
        <v>4</v>
      </c>
      <c r="L9" s="69" t="n">
        <v>5</v>
      </c>
      <c r="M9" s="69" t="n">
        <v>6</v>
      </c>
      <c r="N9" s="70" t="n">
        <v>7</v>
      </c>
      <c r="O9" s="71" t="n">
        <v>8</v>
      </c>
      <c r="P9" s="61" t="n"/>
      <c r="Q9" s="69" t="n">
        <v>2</v>
      </c>
      <c r="R9" s="69" t="n">
        <v>3</v>
      </c>
      <c r="S9" s="69" t="n">
        <v>4</v>
      </c>
      <c r="T9" s="69" t="n">
        <v>5</v>
      </c>
      <c r="U9" s="69" t="n">
        <v>6</v>
      </c>
      <c r="V9" s="70" t="n">
        <v>7</v>
      </c>
      <c r="W9" s="71" t="n">
        <v>8</v>
      </c>
      <c r="X9" s="61" t="n"/>
      <c r="Y9" s="69" t="n">
        <v>6</v>
      </c>
      <c r="Z9" s="69" t="n">
        <v>7</v>
      </c>
      <c r="AA9" s="68" t="n">
        <v>8</v>
      </c>
      <c r="AB9" s="69" t="n">
        <v>9</v>
      </c>
      <c r="AC9" s="69" t="n">
        <v>10</v>
      </c>
      <c r="AD9" s="70" t="n">
        <v>11</v>
      </c>
      <c r="AE9" s="70" t="n">
        <v>12</v>
      </c>
      <c r="AF9" s="61" t="n"/>
      <c r="AG9" s="61" t="n"/>
    </row>
    <row r="10" ht="15" customHeight="1">
      <c r="A10" s="69" t="n">
        <v>12</v>
      </c>
      <c r="B10" s="69" t="n">
        <v>13</v>
      </c>
      <c r="C10" s="69" t="n">
        <v>14</v>
      </c>
      <c r="D10" s="68" t="n">
        <v>15</v>
      </c>
      <c r="E10" s="69" t="n">
        <v>16</v>
      </c>
      <c r="F10" s="70" t="n">
        <v>17</v>
      </c>
      <c r="G10" s="70" t="n">
        <v>18</v>
      </c>
      <c r="H10" s="61" t="n"/>
      <c r="I10" s="69" t="n">
        <v>9</v>
      </c>
      <c r="J10" s="69" t="n">
        <v>10</v>
      </c>
      <c r="K10" s="69" t="n">
        <v>11</v>
      </c>
      <c r="L10" s="69" t="n">
        <v>12</v>
      </c>
      <c r="M10" s="69" t="n">
        <v>13</v>
      </c>
      <c r="N10" s="70" t="n">
        <v>14</v>
      </c>
      <c r="O10" s="71" t="n">
        <v>15</v>
      </c>
      <c r="P10" s="61" t="n"/>
      <c r="Q10" s="69" t="n">
        <v>9</v>
      </c>
      <c r="R10" s="69" t="n">
        <v>10</v>
      </c>
      <c r="S10" s="69" t="n">
        <v>11</v>
      </c>
      <c r="T10" s="69" t="n">
        <v>12</v>
      </c>
      <c r="U10" s="69" t="n">
        <v>13</v>
      </c>
      <c r="V10" s="70" t="n">
        <v>14</v>
      </c>
      <c r="W10" s="71" t="n">
        <v>15</v>
      </c>
      <c r="X10" s="61" t="n"/>
      <c r="Y10" s="69" t="n">
        <v>13</v>
      </c>
      <c r="Z10" s="69" t="n">
        <v>14</v>
      </c>
      <c r="AA10" s="68" t="n">
        <v>15</v>
      </c>
      <c r="AB10" s="69" t="n">
        <v>16</v>
      </c>
      <c r="AC10" s="69" t="n">
        <v>17</v>
      </c>
      <c r="AD10" s="70" t="n">
        <v>18</v>
      </c>
      <c r="AE10" s="70" t="n">
        <v>19</v>
      </c>
      <c r="AF10" s="61" t="n"/>
      <c r="AG10" s="61" t="n"/>
    </row>
    <row r="11" ht="15" customHeight="1">
      <c r="A11" s="69" t="n">
        <v>19</v>
      </c>
      <c r="B11" s="69" t="n">
        <v>20</v>
      </c>
      <c r="C11" s="69" t="n">
        <v>21</v>
      </c>
      <c r="D11" s="68" t="n">
        <v>22</v>
      </c>
      <c r="E11" s="69" t="n">
        <v>23</v>
      </c>
      <c r="F11" s="70" t="n">
        <v>24</v>
      </c>
      <c r="G11" s="70" t="n">
        <v>25</v>
      </c>
      <c r="H11" s="61" t="n"/>
      <c r="I11" s="69" t="n">
        <v>16</v>
      </c>
      <c r="J11" s="69" t="n">
        <v>17</v>
      </c>
      <c r="K11" s="69" t="n">
        <v>18</v>
      </c>
      <c r="L11" s="69" t="n">
        <v>19</v>
      </c>
      <c r="M11" s="69" t="n">
        <v>20</v>
      </c>
      <c r="N11" s="70" t="n">
        <v>21</v>
      </c>
      <c r="O11" s="71" t="n">
        <v>22</v>
      </c>
      <c r="P11" s="61" t="n"/>
      <c r="Q11" s="69" t="n">
        <v>16</v>
      </c>
      <c r="R11" s="69" t="n">
        <v>17</v>
      </c>
      <c r="S11" s="69" t="n">
        <v>18</v>
      </c>
      <c r="T11" s="69" t="n">
        <v>19</v>
      </c>
      <c r="U11" s="69" t="n">
        <v>20</v>
      </c>
      <c r="V11" s="70" t="n">
        <v>21</v>
      </c>
      <c r="W11" s="71" t="n">
        <v>22</v>
      </c>
      <c r="X11" s="61" t="n"/>
      <c r="Y11" s="69" t="n">
        <v>20</v>
      </c>
      <c r="Z11" s="69" t="n">
        <v>21</v>
      </c>
      <c r="AA11" s="68" t="n">
        <v>22</v>
      </c>
      <c r="AB11" s="69" t="n">
        <v>23</v>
      </c>
      <c r="AC11" s="69" t="n">
        <v>24</v>
      </c>
      <c r="AD11" s="70" t="n">
        <v>25</v>
      </c>
      <c r="AE11" s="70" t="n">
        <v>26</v>
      </c>
      <c r="AF11" s="61" t="n"/>
      <c r="AG11" s="61" t="n"/>
    </row>
    <row r="12" ht="15" customHeight="1">
      <c r="A12" s="69" t="n">
        <v>26</v>
      </c>
      <c r="B12" s="69" t="n">
        <v>27</v>
      </c>
      <c r="C12" s="69" t="n">
        <v>28</v>
      </c>
      <c r="D12" s="69" t="n">
        <v>29</v>
      </c>
      <c r="E12" s="69" t="n">
        <v>30</v>
      </c>
      <c r="F12" s="70" t="n">
        <v>31</v>
      </c>
      <c r="G12" s="67" t="inlineStr"/>
      <c r="H12" s="61" t="n"/>
      <c r="I12" s="69" t="n">
        <v>23</v>
      </c>
      <c r="J12" s="69" t="n">
        <v>24</v>
      </c>
      <c r="K12" s="69" t="n">
        <v>25</v>
      </c>
      <c r="L12" s="69" t="n">
        <v>26</v>
      </c>
      <c r="M12" s="69" t="n">
        <v>27</v>
      </c>
      <c r="N12" s="70" t="n">
        <v>28</v>
      </c>
      <c r="O12" s="67" t="inlineStr"/>
      <c r="P12" s="61" t="n"/>
      <c r="Q12" s="69" t="n">
        <v>23</v>
      </c>
      <c r="R12" s="69" t="n">
        <v>24</v>
      </c>
      <c r="S12" s="69" t="n">
        <v>25</v>
      </c>
      <c r="T12" s="69" t="n">
        <v>26</v>
      </c>
      <c r="U12" s="69" t="n">
        <v>27</v>
      </c>
      <c r="V12" s="70" t="n">
        <v>28</v>
      </c>
      <c r="W12" s="70" t="n">
        <v>29</v>
      </c>
      <c r="X12" s="61" t="n"/>
      <c r="Y12" s="69" t="n">
        <v>27</v>
      </c>
      <c r="Z12" s="69" t="n">
        <v>28</v>
      </c>
      <c r="AA12" s="69" t="n">
        <v>29</v>
      </c>
      <c r="AB12" s="69" t="n">
        <v>30</v>
      </c>
      <c r="AC12" s="67" t="inlineStr"/>
      <c r="AD12" s="67" t="inlineStr"/>
      <c r="AE12" s="67" t="inlineStr"/>
      <c r="AF12" s="61" t="n"/>
      <c r="AG12" s="61" t="n"/>
    </row>
    <row r="13" ht="15" customHeight="1">
      <c r="A13" s="67" t="n"/>
      <c r="B13" s="67" t="n"/>
      <c r="C13" s="67" t="n"/>
      <c r="D13" s="67" t="n"/>
      <c r="E13" s="67" t="n"/>
      <c r="F13" s="67" t="n"/>
      <c r="G13" s="67" t="n"/>
      <c r="H13" s="61" t="n"/>
      <c r="I13" s="67" t="n"/>
      <c r="J13" s="67" t="n"/>
      <c r="K13" s="67" t="n"/>
      <c r="L13" s="67" t="n"/>
      <c r="M13" s="67" t="n"/>
      <c r="N13" s="67" t="n"/>
      <c r="O13" s="67" t="n"/>
      <c r="P13" s="61" t="n"/>
      <c r="Q13" s="69" t="n">
        <v>30</v>
      </c>
      <c r="R13" s="69" t="n">
        <v>31</v>
      </c>
      <c r="S13" s="67" t="inlineStr"/>
      <c r="T13" s="67" t="inlineStr"/>
      <c r="U13" s="67" t="inlineStr"/>
      <c r="V13" s="67" t="inlineStr"/>
      <c r="W13" s="67" t="inlineStr"/>
      <c r="X13" s="61" t="n"/>
      <c r="Y13" s="67" t="n"/>
      <c r="Z13" s="67" t="n"/>
      <c r="AA13" s="67" t="n"/>
      <c r="AB13" s="67" t="n"/>
      <c r="AC13" s="67" t="n"/>
      <c r="AD13" s="67" t="n"/>
      <c r="AE13" s="67" t="n"/>
      <c r="AF13" s="61" t="n"/>
      <c r="AG13" s="61" t="n"/>
    </row>
    <row r="14" ht="16" customHeight="1">
      <c r="A14" s="61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1" t="n"/>
      <c r="AA14" s="61" t="n"/>
      <c r="AB14" s="61" t="n"/>
      <c r="AC14" s="61" t="n"/>
      <c r="AD14" s="61" t="n"/>
      <c r="AE14" s="61" t="n"/>
      <c r="AF14" s="61" t="n"/>
      <c r="AG14" s="61" t="n"/>
    </row>
    <row r="15" ht="16" customHeight="1">
      <c r="A15" s="61" t="n"/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61" t="n"/>
      <c r="Y15" s="61" t="n"/>
      <c r="Z15" s="61" t="n"/>
      <c r="AA15" s="61" t="n"/>
      <c r="AB15" s="61" t="n"/>
      <c r="AC15" s="61" t="n"/>
      <c r="AD15" s="61" t="n"/>
      <c r="AE15" s="61" t="n"/>
      <c r="AF15" s="61" t="n"/>
      <c r="AG15" s="61" t="n"/>
    </row>
    <row r="16" ht="16" customHeight="1">
      <c r="A16" s="61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</row>
    <row r="17" ht="22" customHeight="1">
      <c r="A17" s="64" t="inlineStr">
        <is>
          <t>MAIO 2026</t>
        </is>
      </c>
      <c r="H17" s="61" t="n"/>
      <c r="I17" s="64" t="inlineStr">
        <is>
          <t>JUNHO 2026</t>
        </is>
      </c>
      <c r="P17" s="61" t="n"/>
      <c r="Q17" s="72" t="inlineStr">
        <is>
          <t>JULHO 2026</t>
        </is>
      </c>
      <c r="X17" s="61" t="n"/>
      <c r="Y17" s="72" t="inlineStr">
        <is>
          <t>AGOSTO 2026</t>
        </is>
      </c>
      <c r="AF17" s="61" t="n"/>
      <c r="AG17" s="61" t="n"/>
    </row>
    <row r="18" ht="16" customHeight="1">
      <c r="A18" s="65" t="inlineStr">
        <is>
          <t>Seg</t>
        </is>
      </c>
      <c r="B18" s="65" t="inlineStr">
        <is>
          <t>Ter</t>
        </is>
      </c>
      <c r="C18" s="65" t="inlineStr">
        <is>
          <t>Qua</t>
        </is>
      </c>
      <c r="D18" s="65" t="inlineStr">
        <is>
          <t>Qui</t>
        </is>
      </c>
      <c r="E18" s="65" t="inlineStr">
        <is>
          <t>Sex</t>
        </is>
      </c>
      <c r="F18" s="66" t="inlineStr">
        <is>
          <t>Sab</t>
        </is>
      </c>
      <c r="G18" s="66" t="inlineStr">
        <is>
          <t>Dom</t>
        </is>
      </c>
      <c r="H18" s="61" t="n"/>
      <c r="I18" s="65" t="inlineStr">
        <is>
          <t>Seg</t>
        </is>
      </c>
      <c r="J18" s="65" t="inlineStr">
        <is>
          <t>Ter</t>
        </is>
      </c>
      <c r="K18" s="65" t="inlineStr">
        <is>
          <t>Qua</t>
        </is>
      </c>
      <c r="L18" s="65" t="inlineStr">
        <is>
          <t>Qui</t>
        </is>
      </c>
      <c r="M18" s="65" t="inlineStr">
        <is>
          <t>Sex</t>
        </is>
      </c>
      <c r="N18" s="66" t="inlineStr">
        <is>
          <t>Sab</t>
        </is>
      </c>
      <c r="O18" s="66" t="inlineStr">
        <is>
          <t>Dom</t>
        </is>
      </c>
      <c r="P18" s="61" t="n"/>
      <c r="Q18" s="65" t="inlineStr">
        <is>
          <t>Seg</t>
        </is>
      </c>
      <c r="R18" s="65" t="inlineStr">
        <is>
          <t>Ter</t>
        </is>
      </c>
      <c r="S18" s="65" t="inlineStr">
        <is>
          <t>Qua</t>
        </is>
      </c>
      <c r="T18" s="65" t="inlineStr">
        <is>
          <t>Qui</t>
        </is>
      </c>
      <c r="U18" s="65" t="inlineStr">
        <is>
          <t>Sex</t>
        </is>
      </c>
      <c r="V18" s="66" t="inlineStr">
        <is>
          <t>Sab</t>
        </is>
      </c>
      <c r="W18" s="66" t="inlineStr">
        <is>
          <t>Dom</t>
        </is>
      </c>
      <c r="X18" s="61" t="n"/>
      <c r="Y18" s="65" t="inlineStr">
        <is>
          <t>Seg</t>
        </is>
      </c>
      <c r="Z18" s="65" t="inlineStr">
        <is>
          <t>Ter</t>
        </is>
      </c>
      <c r="AA18" s="65" t="inlineStr">
        <is>
          <t>Qua</t>
        </is>
      </c>
      <c r="AB18" s="65" t="inlineStr">
        <is>
          <t>Qui</t>
        </is>
      </c>
      <c r="AC18" s="65" t="inlineStr">
        <is>
          <t>Sex</t>
        </is>
      </c>
      <c r="AD18" s="66" t="inlineStr">
        <is>
          <t>Sab</t>
        </is>
      </c>
      <c r="AE18" s="66" t="inlineStr">
        <is>
          <t>Dom</t>
        </is>
      </c>
      <c r="AF18" s="61" t="n"/>
      <c r="AG18" s="61" t="n"/>
    </row>
    <row r="19" ht="15" customHeight="1">
      <c r="A19" s="67" t="inlineStr"/>
      <c r="B19" s="67" t="inlineStr"/>
      <c r="C19" s="67" t="inlineStr"/>
      <c r="D19" s="67" t="inlineStr"/>
      <c r="E19" s="68" t="n">
        <v>1</v>
      </c>
      <c r="F19" s="70" t="n">
        <v>2</v>
      </c>
      <c r="G19" s="70" t="n">
        <v>3</v>
      </c>
      <c r="H19" s="61" t="n"/>
      <c r="I19" s="68" t="n">
        <v>1</v>
      </c>
      <c r="J19" s="69" t="n">
        <v>2</v>
      </c>
      <c r="K19" s="69" t="n">
        <v>3</v>
      </c>
      <c r="L19" s="69" t="n">
        <v>4</v>
      </c>
      <c r="M19" s="69" t="n">
        <v>5</v>
      </c>
      <c r="N19" s="70" t="n">
        <v>6</v>
      </c>
      <c r="O19" s="70" t="n">
        <v>7</v>
      </c>
      <c r="P19" s="61" t="n"/>
      <c r="Q19" s="67" t="inlineStr"/>
      <c r="R19" s="67" t="inlineStr"/>
      <c r="S19" s="68" t="n">
        <v>1</v>
      </c>
      <c r="T19" s="69" t="n">
        <v>2</v>
      </c>
      <c r="U19" s="69" t="n">
        <v>3</v>
      </c>
      <c r="V19" s="70" t="n">
        <v>4</v>
      </c>
      <c r="W19" s="70" t="n">
        <v>5</v>
      </c>
      <c r="X19" s="61" t="n"/>
      <c r="Y19" s="67" t="inlineStr"/>
      <c r="Z19" s="67" t="inlineStr"/>
      <c r="AA19" s="67" t="inlineStr"/>
      <c r="AB19" s="67" t="inlineStr"/>
      <c r="AC19" s="67" t="inlineStr"/>
      <c r="AD19" s="71" t="n">
        <v>1</v>
      </c>
      <c r="AE19" s="70" t="n">
        <v>2</v>
      </c>
      <c r="AF19" s="61" t="n"/>
      <c r="AG19" s="61" t="n"/>
    </row>
    <row r="20" ht="15" customHeight="1">
      <c r="A20" s="69" t="n">
        <v>4</v>
      </c>
      <c r="B20" s="69" t="n">
        <v>5</v>
      </c>
      <c r="C20" s="69" t="n">
        <v>6</v>
      </c>
      <c r="D20" s="69" t="n">
        <v>7</v>
      </c>
      <c r="E20" s="68" t="n">
        <v>8</v>
      </c>
      <c r="F20" s="70" t="n">
        <v>9</v>
      </c>
      <c r="G20" s="70" t="n">
        <v>10</v>
      </c>
      <c r="H20" s="61" t="n"/>
      <c r="I20" s="68" t="n">
        <v>8</v>
      </c>
      <c r="J20" s="69" t="n">
        <v>9</v>
      </c>
      <c r="K20" s="69" t="n">
        <v>10</v>
      </c>
      <c r="L20" s="69" t="n">
        <v>11</v>
      </c>
      <c r="M20" s="69" t="n">
        <v>12</v>
      </c>
      <c r="N20" s="70" t="n">
        <v>13</v>
      </c>
      <c r="O20" s="70" t="n">
        <v>14</v>
      </c>
      <c r="P20" s="61" t="n"/>
      <c r="Q20" s="69" t="n">
        <v>6</v>
      </c>
      <c r="R20" s="69" t="n">
        <v>7</v>
      </c>
      <c r="S20" s="68" t="n">
        <v>8</v>
      </c>
      <c r="T20" s="69" t="n">
        <v>9</v>
      </c>
      <c r="U20" s="69" t="n">
        <v>10</v>
      </c>
      <c r="V20" s="70" t="n">
        <v>11</v>
      </c>
      <c r="W20" s="70" t="n">
        <v>12</v>
      </c>
      <c r="X20" s="61" t="n"/>
      <c r="Y20" s="69" t="n">
        <v>3</v>
      </c>
      <c r="Z20" s="69" t="n">
        <v>4</v>
      </c>
      <c r="AA20" s="69" t="n">
        <v>5</v>
      </c>
      <c r="AB20" s="69" t="n">
        <v>6</v>
      </c>
      <c r="AC20" s="69" t="n">
        <v>7</v>
      </c>
      <c r="AD20" s="71" t="n">
        <v>8</v>
      </c>
      <c r="AE20" s="70" t="n">
        <v>9</v>
      </c>
      <c r="AF20" s="61" t="n"/>
      <c r="AG20" s="61" t="n"/>
    </row>
    <row r="21" ht="15" customHeight="1">
      <c r="A21" s="69" t="n">
        <v>11</v>
      </c>
      <c r="B21" s="69" t="n">
        <v>12</v>
      </c>
      <c r="C21" s="69" t="n">
        <v>13</v>
      </c>
      <c r="D21" s="69" t="n">
        <v>14</v>
      </c>
      <c r="E21" s="68" t="n">
        <v>15</v>
      </c>
      <c r="F21" s="70" t="n">
        <v>16</v>
      </c>
      <c r="G21" s="70" t="n">
        <v>17</v>
      </c>
      <c r="H21" s="61" t="n"/>
      <c r="I21" s="68" t="n">
        <v>15</v>
      </c>
      <c r="J21" s="69" t="n">
        <v>16</v>
      </c>
      <c r="K21" s="69" t="n">
        <v>17</v>
      </c>
      <c r="L21" s="69" t="n">
        <v>18</v>
      </c>
      <c r="M21" s="69" t="n">
        <v>19</v>
      </c>
      <c r="N21" s="70" t="n">
        <v>20</v>
      </c>
      <c r="O21" s="70" t="n">
        <v>21</v>
      </c>
      <c r="P21" s="61" t="n"/>
      <c r="Q21" s="69" t="n">
        <v>13</v>
      </c>
      <c r="R21" s="69" t="n">
        <v>14</v>
      </c>
      <c r="S21" s="68" t="n">
        <v>15</v>
      </c>
      <c r="T21" s="69" t="n">
        <v>16</v>
      </c>
      <c r="U21" s="69" t="n">
        <v>17</v>
      </c>
      <c r="V21" s="70" t="n">
        <v>18</v>
      </c>
      <c r="W21" s="70" t="n">
        <v>19</v>
      </c>
      <c r="X21" s="61" t="n"/>
      <c r="Y21" s="69" t="n">
        <v>10</v>
      </c>
      <c r="Z21" s="69" t="n">
        <v>11</v>
      </c>
      <c r="AA21" s="69" t="n">
        <v>12</v>
      </c>
      <c r="AB21" s="69" t="n">
        <v>13</v>
      </c>
      <c r="AC21" s="69" t="n">
        <v>14</v>
      </c>
      <c r="AD21" s="71" t="n">
        <v>15</v>
      </c>
      <c r="AE21" s="70" t="n">
        <v>16</v>
      </c>
      <c r="AF21" s="61" t="n"/>
      <c r="AG21" s="61" t="n"/>
    </row>
    <row r="22" ht="15" customHeight="1">
      <c r="A22" s="69" t="n">
        <v>18</v>
      </c>
      <c r="B22" s="69" t="n">
        <v>19</v>
      </c>
      <c r="C22" s="69" t="n">
        <v>20</v>
      </c>
      <c r="D22" s="69" t="n">
        <v>21</v>
      </c>
      <c r="E22" s="68" t="n">
        <v>22</v>
      </c>
      <c r="F22" s="70" t="n">
        <v>23</v>
      </c>
      <c r="G22" s="70" t="n">
        <v>24</v>
      </c>
      <c r="H22" s="61" t="n"/>
      <c r="I22" s="68" t="n">
        <v>22</v>
      </c>
      <c r="J22" s="69" t="n">
        <v>23</v>
      </c>
      <c r="K22" s="69" t="n">
        <v>24</v>
      </c>
      <c r="L22" s="69" t="n">
        <v>25</v>
      </c>
      <c r="M22" s="69" t="n">
        <v>26</v>
      </c>
      <c r="N22" s="70" t="n">
        <v>27</v>
      </c>
      <c r="O22" s="70" t="n">
        <v>28</v>
      </c>
      <c r="P22" s="61" t="n"/>
      <c r="Q22" s="69" t="n">
        <v>20</v>
      </c>
      <c r="R22" s="69" t="n">
        <v>21</v>
      </c>
      <c r="S22" s="68" t="n">
        <v>22</v>
      </c>
      <c r="T22" s="69" t="n">
        <v>23</v>
      </c>
      <c r="U22" s="69" t="n">
        <v>24</v>
      </c>
      <c r="V22" s="70" t="n">
        <v>25</v>
      </c>
      <c r="W22" s="70" t="n">
        <v>26</v>
      </c>
      <c r="X22" s="61" t="n"/>
      <c r="Y22" s="69" t="n">
        <v>17</v>
      </c>
      <c r="Z22" s="69" t="n">
        <v>18</v>
      </c>
      <c r="AA22" s="69" t="n">
        <v>19</v>
      </c>
      <c r="AB22" s="69" t="n">
        <v>20</v>
      </c>
      <c r="AC22" s="69" t="n">
        <v>21</v>
      </c>
      <c r="AD22" s="71" t="n">
        <v>22</v>
      </c>
      <c r="AE22" s="70" t="n">
        <v>23</v>
      </c>
      <c r="AF22" s="61" t="n"/>
      <c r="AG22" s="61" t="n"/>
    </row>
    <row r="23" ht="15" customHeight="1">
      <c r="A23" s="69" t="n">
        <v>25</v>
      </c>
      <c r="B23" s="69" t="n">
        <v>26</v>
      </c>
      <c r="C23" s="69" t="n">
        <v>27</v>
      </c>
      <c r="D23" s="69" t="n">
        <v>28</v>
      </c>
      <c r="E23" s="69" t="n">
        <v>29</v>
      </c>
      <c r="F23" s="70" t="n">
        <v>30</v>
      </c>
      <c r="G23" s="70" t="n">
        <v>31</v>
      </c>
      <c r="H23" s="61" t="n"/>
      <c r="I23" s="69" t="n">
        <v>29</v>
      </c>
      <c r="J23" s="69" t="n">
        <v>30</v>
      </c>
      <c r="K23" s="67" t="inlineStr"/>
      <c r="L23" s="67" t="inlineStr"/>
      <c r="M23" s="67" t="inlineStr"/>
      <c r="N23" s="67" t="inlineStr"/>
      <c r="O23" s="67" t="inlineStr"/>
      <c r="P23" s="61" t="n"/>
      <c r="Q23" s="69" t="n">
        <v>27</v>
      </c>
      <c r="R23" s="69" t="n">
        <v>28</v>
      </c>
      <c r="S23" s="69" t="n">
        <v>29</v>
      </c>
      <c r="T23" s="69" t="n">
        <v>30</v>
      </c>
      <c r="U23" s="69" t="n">
        <v>31</v>
      </c>
      <c r="V23" s="67" t="inlineStr"/>
      <c r="W23" s="67" t="inlineStr"/>
      <c r="X23" s="61" t="n"/>
      <c r="Y23" s="69" t="n">
        <v>24</v>
      </c>
      <c r="Z23" s="69" t="n">
        <v>25</v>
      </c>
      <c r="AA23" s="69" t="n">
        <v>26</v>
      </c>
      <c r="AB23" s="69" t="n">
        <v>27</v>
      </c>
      <c r="AC23" s="69" t="n">
        <v>28</v>
      </c>
      <c r="AD23" s="70" t="n">
        <v>29</v>
      </c>
      <c r="AE23" s="70" t="n">
        <v>30</v>
      </c>
      <c r="AF23" s="61" t="n"/>
      <c r="AG23" s="61" t="n"/>
    </row>
    <row r="24" ht="15" customHeight="1">
      <c r="A24" s="67" t="n"/>
      <c r="B24" s="67" t="n"/>
      <c r="C24" s="67" t="n"/>
      <c r="D24" s="67" t="n"/>
      <c r="E24" s="67" t="n"/>
      <c r="F24" s="67" t="n"/>
      <c r="G24" s="67" t="n"/>
      <c r="H24" s="61" t="n"/>
      <c r="I24" s="67" t="n"/>
      <c r="J24" s="67" t="n"/>
      <c r="K24" s="67" t="n"/>
      <c r="L24" s="67" t="n"/>
      <c r="M24" s="67" t="n"/>
      <c r="N24" s="67" t="n"/>
      <c r="O24" s="67" t="n"/>
      <c r="P24" s="61" t="n"/>
      <c r="Q24" s="67" t="n"/>
      <c r="R24" s="67" t="n"/>
      <c r="S24" s="67" t="n"/>
      <c r="T24" s="67" t="n"/>
      <c r="U24" s="67" t="n"/>
      <c r="V24" s="67" t="n"/>
      <c r="W24" s="67" t="n"/>
      <c r="X24" s="61" t="n"/>
      <c r="Y24" s="69" t="n">
        <v>31</v>
      </c>
      <c r="Z24" s="67" t="inlineStr"/>
      <c r="AA24" s="67" t="inlineStr"/>
      <c r="AB24" s="67" t="inlineStr"/>
      <c r="AC24" s="67" t="inlineStr"/>
      <c r="AD24" s="67" t="inlineStr"/>
      <c r="AE24" s="67" t="inlineStr"/>
      <c r="AF24" s="61" t="n"/>
      <c r="AG24" s="61" t="n"/>
    </row>
    <row r="25" ht="16" customHeight="1">
      <c r="A25" s="61" t="n"/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</row>
    <row r="26" ht="16" customHeight="1">
      <c r="A26" s="61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  <c r="AA26" s="61" t="n"/>
      <c r="AB26" s="61" t="n"/>
      <c r="AC26" s="61" t="n"/>
      <c r="AD26" s="61" t="n"/>
      <c r="AE26" s="61" t="n"/>
      <c r="AF26" s="61" t="n"/>
      <c r="AG26" s="61" t="n"/>
    </row>
    <row r="27" ht="16" customHeight="1">
      <c r="A27" s="61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61" t="n"/>
      <c r="X27" s="61" t="n"/>
      <c r="Y27" s="61" t="n"/>
      <c r="Z27" s="61" t="n"/>
      <c r="AA27" s="61" t="n"/>
      <c r="AB27" s="61" t="n"/>
      <c r="AC27" s="61" t="n"/>
      <c r="AD27" s="61" t="n"/>
      <c r="AE27" s="61" t="n"/>
      <c r="AF27" s="61" t="n"/>
      <c r="AG27" s="61" t="n"/>
    </row>
    <row r="28" ht="22" customHeight="1">
      <c r="A28" s="72" t="inlineStr">
        <is>
          <t>SETEMBRO 2026</t>
        </is>
      </c>
      <c r="H28" s="61" t="n"/>
      <c r="I28" s="63" t="inlineStr">
        <is>
          <t>OUTUBRO 2026</t>
        </is>
      </c>
      <c r="P28" s="61" t="n"/>
      <c r="Q28" s="64" t="inlineStr">
        <is>
          <t>NOVEMBRO 2026</t>
        </is>
      </c>
      <c r="X28" s="61" t="n"/>
      <c r="Y28" s="72" t="inlineStr">
        <is>
          <t>DEZEMBRO 2026</t>
        </is>
      </c>
      <c r="AF28" s="61" t="n"/>
      <c r="AG28" s="61" t="n"/>
    </row>
    <row r="29" ht="16" customHeight="1">
      <c r="A29" s="65" t="inlineStr">
        <is>
          <t>Seg</t>
        </is>
      </c>
      <c r="B29" s="65" t="inlineStr">
        <is>
          <t>Ter</t>
        </is>
      </c>
      <c r="C29" s="65" t="inlineStr">
        <is>
          <t>Qua</t>
        </is>
      </c>
      <c r="D29" s="65" t="inlineStr">
        <is>
          <t>Qui</t>
        </is>
      </c>
      <c r="E29" s="65" t="inlineStr">
        <is>
          <t>Sex</t>
        </is>
      </c>
      <c r="F29" s="66" t="inlineStr">
        <is>
          <t>Sab</t>
        </is>
      </c>
      <c r="G29" s="66" t="inlineStr">
        <is>
          <t>Dom</t>
        </is>
      </c>
      <c r="H29" s="61" t="n"/>
      <c r="I29" s="65" t="inlineStr">
        <is>
          <t>Seg</t>
        </is>
      </c>
      <c r="J29" s="65" t="inlineStr">
        <is>
          <t>Ter</t>
        </is>
      </c>
      <c r="K29" s="65" t="inlineStr">
        <is>
          <t>Qua</t>
        </is>
      </c>
      <c r="L29" s="65" t="inlineStr">
        <is>
          <t>Qui</t>
        </is>
      </c>
      <c r="M29" s="65" t="inlineStr">
        <is>
          <t>Sex</t>
        </is>
      </c>
      <c r="N29" s="66" t="inlineStr">
        <is>
          <t>Sab</t>
        </is>
      </c>
      <c r="O29" s="66" t="inlineStr">
        <is>
          <t>Dom</t>
        </is>
      </c>
      <c r="P29" s="61" t="n"/>
      <c r="Q29" s="65" t="inlineStr">
        <is>
          <t>Seg</t>
        </is>
      </c>
      <c r="R29" s="65" t="inlineStr">
        <is>
          <t>Ter</t>
        </is>
      </c>
      <c r="S29" s="65" t="inlineStr">
        <is>
          <t>Qua</t>
        </is>
      </c>
      <c r="T29" s="65" t="inlineStr">
        <is>
          <t>Qui</t>
        </is>
      </c>
      <c r="U29" s="65" t="inlineStr">
        <is>
          <t>Sex</t>
        </is>
      </c>
      <c r="V29" s="66" t="inlineStr">
        <is>
          <t>Sab</t>
        </is>
      </c>
      <c r="W29" s="66" t="inlineStr">
        <is>
          <t>Dom</t>
        </is>
      </c>
      <c r="X29" s="61" t="n"/>
      <c r="Y29" s="65" t="inlineStr">
        <is>
          <t>Seg</t>
        </is>
      </c>
      <c r="Z29" s="65" t="inlineStr">
        <is>
          <t>Ter</t>
        </is>
      </c>
      <c r="AA29" s="65" t="inlineStr">
        <is>
          <t>Qua</t>
        </is>
      </c>
      <c r="AB29" s="65" t="inlineStr">
        <is>
          <t>Qui</t>
        </is>
      </c>
      <c r="AC29" s="65" t="inlineStr">
        <is>
          <t>Sex</t>
        </is>
      </c>
      <c r="AD29" s="66" t="inlineStr">
        <is>
          <t>Sab</t>
        </is>
      </c>
      <c r="AE29" s="66" t="inlineStr">
        <is>
          <t>Dom</t>
        </is>
      </c>
      <c r="AF29" s="61" t="n"/>
      <c r="AG29" s="61" t="n"/>
    </row>
    <row r="30" ht="15" customHeight="1">
      <c r="A30" s="67" t="inlineStr"/>
      <c r="B30" s="68" t="n">
        <v>1</v>
      </c>
      <c r="C30" s="69" t="n">
        <v>2</v>
      </c>
      <c r="D30" s="69" t="n">
        <v>3</v>
      </c>
      <c r="E30" s="69" t="n">
        <v>4</v>
      </c>
      <c r="F30" s="70" t="n">
        <v>5</v>
      </c>
      <c r="G30" s="70" t="n">
        <v>6</v>
      </c>
      <c r="H30" s="61" t="n"/>
      <c r="I30" s="67" t="inlineStr"/>
      <c r="J30" s="67" t="inlineStr"/>
      <c r="K30" s="67" t="inlineStr"/>
      <c r="L30" s="68" t="n">
        <v>1</v>
      </c>
      <c r="M30" s="69" t="n">
        <v>2</v>
      </c>
      <c r="N30" s="70" t="n">
        <v>3</v>
      </c>
      <c r="O30" s="70" t="n">
        <v>4</v>
      </c>
      <c r="P30" s="61" t="n"/>
      <c r="Q30" s="67" t="inlineStr"/>
      <c r="R30" s="67" t="inlineStr"/>
      <c r="S30" s="67" t="inlineStr"/>
      <c r="T30" s="67" t="inlineStr"/>
      <c r="U30" s="67" t="inlineStr"/>
      <c r="V30" s="67" t="inlineStr"/>
      <c r="W30" s="71" t="n">
        <v>1</v>
      </c>
      <c r="X30" s="61" t="n"/>
      <c r="Y30" s="67" t="inlineStr"/>
      <c r="Z30" s="68" t="n">
        <v>1</v>
      </c>
      <c r="AA30" s="69" t="n">
        <v>2</v>
      </c>
      <c r="AB30" s="69" t="n">
        <v>3</v>
      </c>
      <c r="AC30" s="69" t="n">
        <v>4</v>
      </c>
      <c r="AD30" s="70" t="n">
        <v>5</v>
      </c>
      <c r="AE30" s="70" t="n">
        <v>6</v>
      </c>
      <c r="AF30" s="61" t="n"/>
      <c r="AG30" s="61" t="n"/>
    </row>
    <row r="31" ht="15" customHeight="1">
      <c r="A31" s="69" t="n">
        <v>7</v>
      </c>
      <c r="B31" s="68" t="n">
        <v>8</v>
      </c>
      <c r="C31" s="69" t="n">
        <v>9</v>
      </c>
      <c r="D31" s="69" t="n">
        <v>10</v>
      </c>
      <c r="E31" s="69" t="n">
        <v>11</v>
      </c>
      <c r="F31" s="70" t="n">
        <v>12</v>
      </c>
      <c r="G31" s="70" t="n">
        <v>13</v>
      </c>
      <c r="H31" s="61" t="n"/>
      <c r="I31" s="69" t="n">
        <v>5</v>
      </c>
      <c r="J31" s="69" t="n">
        <v>6</v>
      </c>
      <c r="K31" s="69" t="n">
        <v>7</v>
      </c>
      <c r="L31" s="68" t="n">
        <v>8</v>
      </c>
      <c r="M31" s="69" t="n">
        <v>9</v>
      </c>
      <c r="N31" s="70" t="n">
        <v>10</v>
      </c>
      <c r="O31" s="70" t="n">
        <v>11</v>
      </c>
      <c r="P31" s="61" t="n"/>
      <c r="Q31" s="69" t="n">
        <v>2</v>
      </c>
      <c r="R31" s="69" t="n">
        <v>3</v>
      </c>
      <c r="S31" s="69" t="n">
        <v>4</v>
      </c>
      <c r="T31" s="69" t="n">
        <v>5</v>
      </c>
      <c r="U31" s="69" t="n">
        <v>6</v>
      </c>
      <c r="V31" s="70" t="n">
        <v>7</v>
      </c>
      <c r="W31" s="71" t="n">
        <v>8</v>
      </c>
      <c r="X31" s="61" t="n"/>
      <c r="Y31" s="69" t="n">
        <v>7</v>
      </c>
      <c r="Z31" s="68" t="n">
        <v>8</v>
      </c>
      <c r="AA31" s="69" t="n">
        <v>9</v>
      </c>
      <c r="AB31" s="69" t="n">
        <v>10</v>
      </c>
      <c r="AC31" s="69" t="n">
        <v>11</v>
      </c>
      <c r="AD31" s="70" t="n">
        <v>12</v>
      </c>
      <c r="AE31" s="70" t="n">
        <v>13</v>
      </c>
      <c r="AF31" s="61" t="n"/>
      <c r="AG31" s="61" t="n"/>
    </row>
    <row r="32" ht="15" customHeight="1">
      <c r="A32" s="69" t="n">
        <v>14</v>
      </c>
      <c r="B32" s="68" t="n">
        <v>15</v>
      </c>
      <c r="C32" s="69" t="n">
        <v>16</v>
      </c>
      <c r="D32" s="69" t="n">
        <v>17</v>
      </c>
      <c r="E32" s="69" t="n">
        <v>18</v>
      </c>
      <c r="F32" s="70" t="n">
        <v>19</v>
      </c>
      <c r="G32" s="70" t="n">
        <v>20</v>
      </c>
      <c r="H32" s="61" t="n"/>
      <c r="I32" s="69" t="n">
        <v>12</v>
      </c>
      <c r="J32" s="69" t="n">
        <v>13</v>
      </c>
      <c r="K32" s="69" t="n">
        <v>14</v>
      </c>
      <c r="L32" s="68" t="n">
        <v>15</v>
      </c>
      <c r="M32" s="69" t="n">
        <v>16</v>
      </c>
      <c r="N32" s="70" t="n">
        <v>17</v>
      </c>
      <c r="O32" s="70" t="n">
        <v>18</v>
      </c>
      <c r="P32" s="61" t="n"/>
      <c r="Q32" s="69" t="n">
        <v>9</v>
      </c>
      <c r="R32" s="69" t="n">
        <v>10</v>
      </c>
      <c r="S32" s="69" t="n">
        <v>11</v>
      </c>
      <c r="T32" s="69" t="n">
        <v>12</v>
      </c>
      <c r="U32" s="69" t="n">
        <v>13</v>
      </c>
      <c r="V32" s="70" t="n">
        <v>14</v>
      </c>
      <c r="W32" s="71" t="n">
        <v>15</v>
      </c>
      <c r="X32" s="61" t="n"/>
      <c r="Y32" s="69" t="n">
        <v>14</v>
      </c>
      <c r="Z32" s="68" t="n">
        <v>15</v>
      </c>
      <c r="AA32" s="69" t="n">
        <v>16</v>
      </c>
      <c r="AB32" s="69" t="n">
        <v>17</v>
      </c>
      <c r="AC32" s="69" t="n">
        <v>18</v>
      </c>
      <c r="AD32" s="70" t="n">
        <v>19</v>
      </c>
      <c r="AE32" s="70" t="n">
        <v>20</v>
      </c>
      <c r="AF32" s="61" t="n"/>
      <c r="AG32" s="61" t="n"/>
    </row>
    <row r="33" ht="15" customHeight="1">
      <c r="A33" s="69" t="n">
        <v>21</v>
      </c>
      <c r="B33" s="68" t="n">
        <v>22</v>
      </c>
      <c r="C33" s="69" t="n">
        <v>23</v>
      </c>
      <c r="D33" s="69" t="n">
        <v>24</v>
      </c>
      <c r="E33" s="69" t="n">
        <v>25</v>
      </c>
      <c r="F33" s="70" t="n">
        <v>26</v>
      </c>
      <c r="G33" s="70" t="n">
        <v>27</v>
      </c>
      <c r="H33" s="61" t="n"/>
      <c r="I33" s="69" t="n">
        <v>19</v>
      </c>
      <c r="J33" s="69" t="n">
        <v>20</v>
      </c>
      <c r="K33" s="69" t="n">
        <v>21</v>
      </c>
      <c r="L33" s="68" t="n">
        <v>22</v>
      </c>
      <c r="M33" s="69" t="n">
        <v>23</v>
      </c>
      <c r="N33" s="70" t="n">
        <v>24</v>
      </c>
      <c r="O33" s="70" t="n">
        <v>25</v>
      </c>
      <c r="P33" s="61" t="n"/>
      <c r="Q33" s="69" t="n">
        <v>16</v>
      </c>
      <c r="R33" s="69" t="n">
        <v>17</v>
      </c>
      <c r="S33" s="69" t="n">
        <v>18</v>
      </c>
      <c r="T33" s="69" t="n">
        <v>19</v>
      </c>
      <c r="U33" s="69" t="n">
        <v>20</v>
      </c>
      <c r="V33" s="70" t="n">
        <v>21</v>
      </c>
      <c r="W33" s="71" t="n">
        <v>22</v>
      </c>
      <c r="X33" s="61" t="n"/>
      <c r="Y33" s="69" t="n">
        <v>21</v>
      </c>
      <c r="Z33" s="68" t="n">
        <v>22</v>
      </c>
      <c r="AA33" s="69" t="n">
        <v>23</v>
      </c>
      <c r="AB33" s="69" t="n">
        <v>24</v>
      </c>
      <c r="AC33" s="69" t="n">
        <v>25</v>
      </c>
      <c r="AD33" s="70" t="n">
        <v>26</v>
      </c>
      <c r="AE33" s="70" t="n">
        <v>27</v>
      </c>
      <c r="AF33" s="61" t="n"/>
      <c r="AG33" s="61" t="n"/>
    </row>
    <row r="34" ht="15" customHeight="1">
      <c r="A34" s="69" t="n">
        <v>28</v>
      </c>
      <c r="B34" s="69" t="n">
        <v>29</v>
      </c>
      <c r="C34" s="69" t="n">
        <v>30</v>
      </c>
      <c r="D34" s="67" t="inlineStr"/>
      <c r="E34" s="67" t="inlineStr"/>
      <c r="F34" s="67" t="inlineStr"/>
      <c r="G34" s="67" t="inlineStr"/>
      <c r="H34" s="61" t="n"/>
      <c r="I34" s="69" t="n">
        <v>26</v>
      </c>
      <c r="J34" s="69" t="n">
        <v>27</v>
      </c>
      <c r="K34" s="69" t="n">
        <v>28</v>
      </c>
      <c r="L34" s="69" t="n">
        <v>29</v>
      </c>
      <c r="M34" s="69" t="n">
        <v>30</v>
      </c>
      <c r="N34" s="70" t="n">
        <v>31</v>
      </c>
      <c r="O34" s="67" t="inlineStr"/>
      <c r="P34" s="61" t="n"/>
      <c r="Q34" s="69" t="n">
        <v>23</v>
      </c>
      <c r="R34" s="69" t="n">
        <v>24</v>
      </c>
      <c r="S34" s="69" t="n">
        <v>25</v>
      </c>
      <c r="T34" s="69" t="n">
        <v>26</v>
      </c>
      <c r="U34" s="69" t="n">
        <v>27</v>
      </c>
      <c r="V34" s="70" t="n">
        <v>28</v>
      </c>
      <c r="W34" s="70" t="n">
        <v>29</v>
      </c>
      <c r="X34" s="61" t="n"/>
      <c r="Y34" s="69" t="n">
        <v>28</v>
      </c>
      <c r="Z34" s="69" t="n">
        <v>29</v>
      </c>
      <c r="AA34" s="69" t="n">
        <v>30</v>
      </c>
      <c r="AB34" s="69" t="n">
        <v>31</v>
      </c>
      <c r="AC34" s="67" t="inlineStr"/>
      <c r="AD34" s="67" t="inlineStr"/>
      <c r="AE34" s="67" t="inlineStr"/>
      <c r="AF34" s="61" t="n"/>
      <c r="AG34" s="61" t="n"/>
    </row>
    <row r="35" ht="15" customHeight="1">
      <c r="A35" s="67" t="n"/>
      <c r="B35" s="67" t="n"/>
      <c r="C35" s="67" t="n"/>
      <c r="D35" s="67" t="n"/>
      <c r="E35" s="67" t="n"/>
      <c r="F35" s="67" t="n"/>
      <c r="G35" s="67" t="n"/>
      <c r="H35" s="61" t="n"/>
      <c r="I35" s="67" t="n"/>
      <c r="J35" s="67" t="n"/>
      <c r="K35" s="67" t="n"/>
      <c r="L35" s="67" t="n"/>
      <c r="M35" s="67" t="n"/>
      <c r="N35" s="67" t="n"/>
      <c r="O35" s="67" t="n"/>
      <c r="P35" s="61" t="n"/>
      <c r="Q35" s="69" t="n">
        <v>30</v>
      </c>
      <c r="R35" s="67" t="inlineStr"/>
      <c r="S35" s="67" t="inlineStr"/>
      <c r="T35" s="67" t="inlineStr"/>
      <c r="U35" s="67" t="inlineStr"/>
      <c r="V35" s="67" t="inlineStr"/>
      <c r="W35" s="67" t="inlineStr"/>
      <c r="X35" s="61" t="n"/>
      <c r="Y35" s="67" t="n"/>
      <c r="Z35" s="67" t="n"/>
      <c r="AA35" s="67" t="n"/>
      <c r="AB35" s="67" t="n"/>
      <c r="AC35" s="67" t="n"/>
      <c r="AD35" s="67" t="n"/>
      <c r="AE35" s="67" t="n"/>
      <c r="AF35" s="61" t="n"/>
      <c r="AG35" s="61" t="n"/>
    </row>
    <row r="36" ht="16" customHeight="1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1" t="n"/>
      <c r="V36" s="61" t="n"/>
      <c r="W36" s="61" t="n"/>
      <c r="X36" s="61" t="n"/>
      <c r="Y36" s="61" t="n"/>
      <c r="Z36" s="61" t="n"/>
      <c r="AA36" s="61" t="n"/>
      <c r="AB36" s="61" t="n"/>
      <c r="AC36" s="61" t="n"/>
      <c r="AD36" s="61" t="n"/>
      <c r="AE36" s="61" t="n"/>
      <c r="AF36" s="61" t="n"/>
      <c r="AG36" s="61" t="n"/>
    </row>
    <row r="37" ht="16" customHeight="1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1" t="n"/>
      <c r="V37" s="61" t="n"/>
      <c r="W37" s="61" t="n"/>
      <c r="X37" s="61" t="n"/>
      <c r="Y37" s="61" t="n"/>
      <c r="Z37" s="61" t="n"/>
      <c r="AA37" s="61" t="n"/>
      <c r="AB37" s="61" t="n"/>
      <c r="AC37" s="61" t="n"/>
      <c r="AD37" s="61" t="n"/>
      <c r="AE37" s="61" t="n"/>
      <c r="AF37" s="61" t="n"/>
      <c r="AG37" s="61" t="n"/>
    </row>
    <row r="38" ht="16" customHeight="1">
      <c r="A38" s="61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1" t="n"/>
      <c r="V38" s="61" t="n"/>
      <c r="W38" s="61" t="n"/>
      <c r="X38" s="61" t="n"/>
      <c r="Y38" s="61" t="n"/>
      <c r="Z38" s="61" t="n"/>
      <c r="AA38" s="61" t="n"/>
      <c r="AB38" s="61" t="n"/>
      <c r="AC38" s="61" t="n"/>
      <c r="AD38" s="61" t="n"/>
      <c r="AE38" s="61" t="n"/>
      <c r="AF38" s="61" t="n"/>
      <c r="AG38" s="61" t="n"/>
    </row>
    <row r="39" ht="20" customHeight="1">
      <c r="A39" s="73" t="inlineStr">
        <is>
          <t xml:space="preserve">  Dias marcados (1, 8, 15, 22) = sugestao de revisao/inventario  |  Fim de semana em vermelho  |  Jah bless your schedule — One Love, One Excel! 2026</t>
        </is>
      </c>
      <c r="AG39" s="61" t="n"/>
    </row>
    <row r="40" ht="16" customHeight="1">
      <c r="A40" s="61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1" t="n"/>
      <c r="V40" s="61" t="n"/>
      <c r="W40" s="61" t="n"/>
      <c r="X40" s="61" t="n"/>
      <c r="Y40" s="61" t="n"/>
      <c r="Z40" s="61" t="n"/>
      <c r="AA40" s="61" t="n"/>
      <c r="AB40" s="61" t="n"/>
      <c r="AC40" s="61" t="n"/>
      <c r="AD40" s="61" t="n"/>
      <c r="AE40" s="61" t="n"/>
      <c r="AF40" s="61" t="n"/>
      <c r="AG40" s="61" t="n"/>
    </row>
    <row r="41" ht="16" customHeight="1">
      <c r="A41" s="61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1" t="n"/>
      <c r="V41" s="61" t="n"/>
      <c r="W41" s="61" t="n"/>
      <c r="X41" s="61" t="n"/>
      <c r="Y41" s="61" t="n"/>
      <c r="Z41" s="61" t="n"/>
      <c r="AA41" s="61" t="n"/>
      <c r="AB41" s="61" t="n"/>
      <c r="AC41" s="61" t="n"/>
      <c r="AD41" s="61" t="n"/>
      <c r="AE41" s="61" t="n"/>
      <c r="AF41" s="61" t="n"/>
      <c r="AG41" s="61" t="n"/>
    </row>
    <row r="42" ht="16" customHeight="1">
      <c r="A42" s="61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1" t="n"/>
      <c r="V42" s="61" t="n"/>
      <c r="W42" s="61" t="n"/>
      <c r="X42" s="61" t="n"/>
      <c r="Y42" s="61" t="n"/>
      <c r="Z42" s="61" t="n"/>
      <c r="AA42" s="61" t="n"/>
      <c r="AB42" s="61" t="n"/>
      <c r="AC42" s="61" t="n"/>
      <c r="AD42" s="61" t="n"/>
      <c r="AE42" s="61" t="n"/>
      <c r="AF42" s="61" t="n"/>
      <c r="AG42" s="61" t="n"/>
    </row>
    <row r="43" ht="16" customHeight="1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1" t="n"/>
      <c r="V43" s="61" t="n"/>
      <c r="W43" s="61" t="n"/>
      <c r="X43" s="61" t="n"/>
      <c r="Y43" s="61" t="n"/>
      <c r="Z43" s="61" t="n"/>
      <c r="AA43" s="61" t="n"/>
      <c r="AB43" s="61" t="n"/>
      <c r="AC43" s="61" t="n"/>
      <c r="AD43" s="61" t="n"/>
      <c r="AE43" s="61" t="n"/>
      <c r="AF43" s="61" t="n"/>
      <c r="AG43" s="61" t="n"/>
    </row>
    <row r="44" ht="16" customHeight="1">
      <c r="A44" s="61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1" t="n"/>
      <c r="V44" s="61" t="n"/>
      <c r="W44" s="61" t="n"/>
      <c r="X44" s="61" t="n"/>
      <c r="Y44" s="61" t="n"/>
      <c r="Z44" s="61" t="n"/>
      <c r="AA44" s="61" t="n"/>
      <c r="AB44" s="61" t="n"/>
      <c r="AC44" s="61" t="n"/>
      <c r="AD44" s="61" t="n"/>
      <c r="AE44" s="61" t="n"/>
      <c r="AF44" s="61" t="n"/>
      <c r="AG44" s="61" t="n"/>
    </row>
    <row r="45" ht="16" customHeight="1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1" t="n"/>
      <c r="V45" s="61" t="n"/>
      <c r="W45" s="61" t="n"/>
      <c r="X45" s="61" t="n"/>
      <c r="Y45" s="61" t="n"/>
      <c r="Z45" s="61" t="n"/>
      <c r="AA45" s="61" t="n"/>
      <c r="AB45" s="61" t="n"/>
      <c r="AC45" s="61" t="n"/>
      <c r="AD45" s="61" t="n"/>
      <c r="AE45" s="61" t="n"/>
      <c r="AF45" s="61" t="n"/>
      <c r="AG45" s="61" t="n"/>
    </row>
    <row r="46" ht="16" customHeight="1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  <c r="AD46" s="61" t="n"/>
      <c r="AE46" s="61" t="n"/>
      <c r="AF46" s="61" t="n"/>
      <c r="AG46" s="61" t="n"/>
    </row>
    <row r="47" ht="16" customHeight="1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1" t="n"/>
      <c r="V47" s="61" t="n"/>
      <c r="W47" s="61" t="n"/>
      <c r="X47" s="61" t="n"/>
      <c r="Y47" s="61" t="n"/>
      <c r="Z47" s="61" t="n"/>
      <c r="AA47" s="61" t="n"/>
      <c r="AB47" s="61" t="n"/>
      <c r="AC47" s="61" t="n"/>
      <c r="AD47" s="61" t="n"/>
      <c r="AE47" s="61" t="n"/>
      <c r="AF47" s="61" t="n"/>
      <c r="AG47" s="61" t="n"/>
    </row>
  </sheetData>
  <mergeCells count="15">
    <mergeCell ref="Y28:AE28"/>
    <mergeCell ref="A17:G17"/>
    <mergeCell ref="A39:AF39"/>
    <mergeCell ref="I17:O17"/>
    <mergeCell ref="A6:G6"/>
    <mergeCell ref="Y17:AE17"/>
    <mergeCell ref="Q28:W28"/>
    <mergeCell ref="A4:AF4"/>
    <mergeCell ref="I6:O6"/>
    <mergeCell ref="Q17:W17"/>
    <mergeCell ref="A28:G28"/>
    <mergeCell ref="Y6:AE6"/>
    <mergeCell ref="Q6:W6"/>
    <mergeCell ref="A2:AF2"/>
    <mergeCell ref="I28:O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Curva ABC Reggae</dc:creator>
  <dc:title>Curva ABC Reggae — Super Version</dc:title>
  <dc:subject>Dashboard ABC Pareto | 3 abas + Calendario | Reggae</dc:subject>
  <dcterms:created xsi:type="dcterms:W3CDTF">2026-05-14T10:03:17Z</dcterms:created>
  <dcterms:modified xsi:type="dcterms:W3CDTF">2026-05-14T10:03:17Z</dcterms:modified>
</cp:coreProperties>
</file>