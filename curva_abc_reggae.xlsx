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🇯🇲 INICIO" sheetId="1" state="visible" r:id="rId1"/>
    <sheet name="📊 CURVA ABC" sheetId="2" state="visible" r:id="rId2"/>
    <sheet name="⚙️ SCRIP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32">
    <font>
      <name val="Calibri"/>
      <family val="2"/>
      <color theme="1"/>
      <sz val="11"/>
      <scheme val="minor"/>
    </font>
    <font>
      <name val="Calibri"/>
      <b val="1"/>
      <color rgb="00009B3A"/>
      <sz val="32"/>
    </font>
    <font>
      <name val="Calibri"/>
      <i val="1"/>
      <color rgb="00FFD700"/>
      <sz val="14"/>
    </font>
    <font>
      <name val="Calibri"/>
      <i val="1"/>
      <color rgb="00FFF5B0"/>
      <sz val="11"/>
    </font>
    <font>
      <name val="Calibri"/>
      <color rgb="00FFFFFF"/>
      <sz val="14"/>
    </font>
    <font>
      <name val="Calibri"/>
      <b val="1"/>
      <color rgb="00FFFFFF"/>
      <sz val="12"/>
    </font>
    <font>
      <name val="Calibri"/>
      <color rgb="00FFFFFF"/>
      <sz val="10"/>
    </font>
    <font>
      <name val="Calibri"/>
      <b val="1"/>
      <color rgb="00009B3A"/>
      <sz val="10"/>
    </font>
    <font>
      <name val="Calibri"/>
      <b val="1"/>
      <color rgb="00009B3A"/>
      <sz val="22"/>
    </font>
    <font>
      <name val="Calibri"/>
      <color rgb="00FFD700"/>
      <sz val="10"/>
    </font>
    <font>
      <name val="Calibri"/>
      <b val="1"/>
      <color rgb="00009B3A"/>
      <sz val="9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b val="1"/>
      <color rgb="00FFD700"/>
      <sz val="9"/>
    </font>
    <font>
      <name val="Calibri"/>
      <b val="1"/>
      <color rgb="00FFD0D0"/>
      <sz val="9"/>
    </font>
    <font>
      <name val="Calibri"/>
      <b val="1"/>
      <color rgb="00000000"/>
      <sz val="9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color rgb="00009B3A"/>
      <sz val="9"/>
    </font>
    <font>
      <name val="Calibri"/>
      <i val="1"/>
      <color rgb="00C8F5DB"/>
      <sz val="8"/>
    </font>
    <font>
      <name val="Calibri"/>
      <b val="1"/>
      <color rgb="00B0B0B0"/>
      <sz val="8"/>
    </font>
    <font>
      <name val="Calibri"/>
      <color rgb="00000000"/>
      <sz val="10"/>
    </font>
    <font>
      <name val="Calibri"/>
      <color rgb="00B0B0B0"/>
      <sz val="8"/>
    </font>
    <font>
      <name val="Calibri"/>
      <b val="1"/>
      <color rgb="00FFD700"/>
      <sz val="11"/>
    </font>
    <font>
      <name val="Courier New"/>
      <i val="1"/>
      <color rgb="006A9955"/>
      <sz val="9"/>
    </font>
    <font>
      <name val="Courier New"/>
      <color rgb="00569CD6"/>
      <sz val="9"/>
    </font>
    <font>
      <name val="Courier New"/>
      <color rgb="00D4D4D4"/>
      <sz val="9"/>
    </font>
    <font>
      <name val="Courier New"/>
      <color rgb="00FFD700"/>
      <sz val="9"/>
    </font>
  </fonts>
  <fills count="17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/>
    </fill>
    <fill>
      <patternFill patternType="solid">
        <fgColor rgb="00006B28"/>
      </patternFill>
    </fill>
    <fill>
      <patternFill patternType="solid">
        <fgColor rgb="00C8A400"/>
      </patternFill>
    </fill>
    <fill>
      <patternFill patternType="solid">
        <fgColor rgb="00990000"/>
      </patternFill>
    </fill>
    <fill>
      <patternFill patternType="solid">
        <fgColor rgb="003A3A3A"/>
      </patternFill>
    </fill>
    <fill>
      <patternFill patternType="solid">
        <fgColor rgb="002A2A2A"/>
      </patternFill>
    </fill>
    <fill>
      <patternFill patternType="solid">
        <fgColor rgb="00C8F5DB"/>
      </patternFill>
    </fill>
    <fill>
      <patternFill patternType="solid">
        <fgColor rgb="00FFFFFF"/>
      </patternFill>
    </fill>
    <fill>
      <patternFill patternType="solid">
        <fgColor rgb="00FFF5B0"/>
      </patternFill>
    </fill>
    <fill>
      <patternFill patternType="solid">
        <fgColor rgb="00FFD0D0"/>
      </patternFill>
    </fill>
    <fill>
      <patternFill patternType="solid">
        <fgColor rgb="000D0D0D"/>
      </patternFill>
    </fill>
  </fills>
  <borders count="20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8A400"/>
      </left>
      <right style="thin">
        <color rgb="00C8A400"/>
      </right>
      <top style="thin">
        <color rgb="00C8A400"/>
      </top>
      <bottom style="thin">
        <color rgb="00C8A400"/>
      </bottom>
    </border>
    <border>
      <left style="thin">
        <color rgb="00990000"/>
      </left>
      <right style="thin">
        <color rgb="00990000"/>
      </right>
      <top style="thin">
        <color rgb="00990000"/>
      </top>
      <bottom style="thin">
        <color rgb="00990000"/>
      </bottom>
    </border>
    <border>
      <left style="thin">
        <color rgb="003A3A3A"/>
      </left>
      <right style="thin">
        <color rgb="003A3A3A"/>
      </right>
      <top style="thin">
        <color rgb="003A3A3A"/>
      </top>
      <bottom style="thin">
        <color rgb="003A3A3A"/>
      </bottom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medium">
        <color rgb="00006B28"/>
      </left>
      <right style="medium">
        <color rgb="00006B28"/>
      </right>
      <top style="thin">
        <color rgb="00E0E0E0"/>
      </top>
      <bottom style="thin">
        <color rgb="00E0E0E0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left style="thin">
        <color rgb="002A2A2A"/>
      </left>
      <right style="thin">
        <color rgb="002A2A2A"/>
      </right>
      <top style="thin">
        <color rgb="002A2A2A"/>
      </top>
      <bottom style="thin">
        <color rgb="002A2A2A"/>
      </bottom>
    </border>
    <border>
      <left style="thin">
        <color rgb="001A1A2E"/>
      </left>
      <right style="thin">
        <color rgb="001A1A2E"/>
      </right>
      <top style="hair">
        <color rgb="001A1A2E"/>
      </top>
      <bottom style="hair">
        <color rgb="001A1A2E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6" fillId="2" borderId="4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/>
    </xf>
    <xf numFmtId="0" fontId="6" fillId="2" borderId="5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7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14" fillId="2" borderId="7" applyAlignment="1" pivotButton="0" quotePrefix="0" xfId="0">
      <alignment horizontal="center" vertical="center"/>
    </xf>
    <xf numFmtId="0" fontId="0" fillId="0" borderId="8" pivotButton="0" quotePrefix="0" xfId="0"/>
    <xf numFmtId="0" fontId="17" fillId="6" borderId="0" applyAlignment="1" pivotButton="0" quotePrefix="0" xfId="0">
      <alignment horizontal="center" vertical="center"/>
    </xf>
    <xf numFmtId="164" fontId="11" fillId="7" borderId="9" applyAlignment="1" pivotButton="0" quotePrefix="0" xfId="0">
      <alignment horizontal="center" vertical="center"/>
    </xf>
    <xf numFmtId="0" fontId="0" fillId="0" borderId="10" pivotButton="0" quotePrefix="0" xfId="0"/>
    <xf numFmtId="164" fontId="11" fillId="3" borderId="10" applyAlignment="1" pivotButton="0" quotePrefix="0" xfId="0">
      <alignment horizontal="center" vertical="center"/>
    </xf>
    <xf numFmtId="165" fontId="11" fillId="8" borderId="10" applyAlignment="1" pivotButton="0" quotePrefix="0" xfId="0">
      <alignment horizontal="center" vertical="center"/>
    </xf>
    <xf numFmtId="164" fontId="11" fillId="9" borderId="10" applyAlignment="1" pivotButton="0" quotePrefix="0" xfId="0">
      <alignment horizontal="center" vertical="center"/>
    </xf>
    <xf numFmtId="0" fontId="0" fillId="0" borderId="11" pivotButton="0" quotePrefix="0" xfId="0"/>
    <xf numFmtId="0" fontId="12" fillId="11" borderId="15" applyAlignment="1" pivotButton="0" quotePrefix="0" xfId="0">
      <alignment horizontal="center" vertical="center"/>
    </xf>
    <xf numFmtId="0" fontId="10" fillId="2" borderId="9" applyAlignment="1" pivotButton="0" quotePrefix="0" xfId="0">
      <alignment horizontal="center" vertical="center"/>
    </xf>
    <xf numFmtId="0" fontId="15" fillId="2" borderId="10" applyAlignment="1" pivotButton="0" quotePrefix="0" xfId="0">
      <alignment horizontal="center" vertical="center"/>
    </xf>
    <xf numFmtId="0" fontId="12" fillId="2" borderId="10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11" fillId="8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11" fillId="10" borderId="10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166" fontId="21" fillId="8" borderId="1" applyAlignment="1" pivotButton="0" quotePrefix="0" xfId="0">
      <alignment horizontal="center" vertical="center"/>
    </xf>
    <xf numFmtId="165" fontId="21" fillId="8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 wrapText="1"/>
    </xf>
    <xf numFmtId="0" fontId="12" fillId="7" borderId="10" applyAlignment="1" pivotButton="0" quotePrefix="0" xfId="0">
      <alignment horizontal="left" vertical="center"/>
    </xf>
    <xf numFmtId="9" fontId="11" fillId="3" borderId="10" applyAlignment="1" applyProtection="1" pivotButton="0" quotePrefix="0" xfId="0">
      <alignment horizontal="center" vertical="center"/>
      <protection locked="0" hidden="0"/>
    </xf>
    <xf numFmtId="0" fontId="0" fillId="2" borderId="10" pivotButton="0" quotePrefix="0" xfId="0"/>
    <xf numFmtId="0" fontId="0" fillId="2" borderId="11" pivotButton="0" quotePrefix="0" xfId="0"/>
    <xf numFmtId="0" fontId="18" fillId="9" borderId="1" applyAlignment="1" pivotButton="0" quotePrefix="0" xfId="0">
      <alignment horizontal="center" vertical="center"/>
    </xf>
    <xf numFmtId="166" fontId="19" fillId="9" borderId="1" applyAlignment="1" pivotButton="0" quotePrefix="0" xfId="0">
      <alignment horizontal="center" vertical="center"/>
    </xf>
    <xf numFmtId="165" fontId="19" fillId="9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8" borderId="13" applyAlignment="1" pivotButton="0" quotePrefix="0" xfId="0">
      <alignment horizontal="left" vertical="center"/>
    </xf>
    <xf numFmtId="9" fontId="16" fillId="4" borderId="13" applyAlignment="1" applyProtection="1" pivotButton="0" quotePrefix="0" xfId="0">
      <alignment horizontal="center" vertical="center"/>
      <protection locked="0" hidden="0"/>
    </xf>
    <xf numFmtId="0" fontId="0" fillId="2" borderId="13" pivotButton="0" quotePrefix="0" xfId="0"/>
    <xf numFmtId="0" fontId="0" fillId="2" borderId="14" pivotButton="0" quotePrefix="0" xfId="0"/>
    <xf numFmtId="0" fontId="22" fillId="2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0" fontId="25" fillId="12" borderId="15" applyAlignment="1" pivotButton="0" quotePrefix="0" xfId="0">
      <alignment horizontal="center" vertical="center"/>
    </xf>
    <xf numFmtId="0" fontId="25" fillId="12" borderId="15" applyAlignment="1" pivotButton="0" quotePrefix="0" xfId="0">
      <alignment horizontal="left" vertical="center"/>
    </xf>
    <xf numFmtId="3" fontId="21" fillId="13" borderId="16" applyAlignment="1" applyProtection="1" pivotButton="0" quotePrefix="0" xfId="0">
      <alignment horizontal="center" vertical="center"/>
      <protection locked="0" hidden="0"/>
    </xf>
    <xf numFmtId="164" fontId="21" fillId="13" borderId="16" applyAlignment="1" applyProtection="1" pivotButton="0" quotePrefix="0" xfId="0">
      <alignment horizontal="right" vertical="center"/>
      <protection locked="0" hidden="0"/>
    </xf>
    <xf numFmtId="164" fontId="21" fillId="12" borderId="15" applyAlignment="1" pivotButton="0" quotePrefix="0" xfId="0">
      <alignment horizontal="right" vertical="center"/>
    </xf>
    <xf numFmtId="10" fontId="25" fillId="12" borderId="15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/>
    </xf>
    <xf numFmtId="10" fontId="26" fillId="2" borderId="0" pivotButton="0" quotePrefix="0" xfId="0"/>
    <xf numFmtId="0" fontId="26" fillId="7" borderId="0" pivotButton="0" quotePrefix="0" xfId="0"/>
    <xf numFmtId="0" fontId="26" fillId="8" borderId="0" pivotButton="0" quotePrefix="0" xfId="0"/>
    <xf numFmtId="0" fontId="26" fillId="9" borderId="0" pivotButton="0" quotePrefix="0" xfId="0"/>
    <xf numFmtId="0" fontId="25" fillId="14" borderId="15" applyAlignment="1" pivotButton="0" quotePrefix="0" xfId="0">
      <alignment horizontal="center" vertical="center"/>
    </xf>
    <xf numFmtId="0" fontId="25" fillId="14" borderId="15" applyAlignment="1" pivotButton="0" quotePrefix="0" xfId="0">
      <alignment horizontal="left" vertical="center"/>
    </xf>
    <xf numFmtId="164" fontId="21" fillId="14" borderId="15" applyAlignment="1" pivotButton="0" quotePrefix="0" xfId="0">
      <alignment horizontal="right" vertical="center"/>
    </xf>
    <xf numFmtId="10" fontId="25" fillId="14" borderId="15" applyAlignment="1" pivotButton="0" quotePrefix="0" xfId="0">
      <alignment horizontal="center" vertical="center"/>
    </xf>
    <xf numFmtId="0" fontId="25" fillId="15" borderId="15" applyAlignment="1" pivotButton="0" quotePrefix="0" xfId="0">
      <alignment horizontal="center" vertical="center"/>
    </xf>
    <xf numFmtId="0" fontId="25" fillId="15" borderId="15" applyAlignment="1" pivotButton="0" quotePrefix="0" xfId="0">
      <alignment horizontal="left" vertical="center"/>
    </xf>
    <xf numFmtId="164" fontId="21" fillId="15" borderId="15" applyAlignment="1" pivotButton="0" quotePrefix="0" xfId="0">
      <alignment horizontal="right" vertical="center"/>
    </xf>
    <xf numFmtId="10" fontId="25" fillId="15" borderId="15" applyAlignment="1" pivotButton="0" quotePrefix="0" xfId="0">
      <alignment horizontal="center" vertical="center"/>
    </xf>
    <xf numFmtId="0" fontId="27" fillId="6" borderId="17" applyAlignment="1" pivotButton="0" quotePrefix="0" xfId="0">
      <alignment horizontal="center" vertical="center"/>
    </xf>
    <xf numFmtId="0" fontId="0" fillId="0" borderId="17" pivotButton="0" quotePrefix="0" xfId="0"/>
    <xf numFmtId="3" fontId="18" fillId="6" borderId="17" applyAlignment="1" pivotButton="0" quotePrefix="0" xfId="0">
      <alignment horizontal="center" vertical="center"/>
    </xf>
    <xf numFmtId="0" fontId="0" fillId="6" borderId="17" pivotButton="0" quotePrefix="0" xfId="0"/>
    <xf numFmtId="164" fontId="18" fillId="3" borderId="17" applyAlignment="1" pivotButton="0" quotePrefix="0" xfId="0">
      <alignment horizontal="right" vertical="center"/>
    </xf>
    <xf numFmtId="9" fontId="18" fillId="6" borderId="17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/>
    </xf>
    <xf numFmtId="0" fontId="6" fillId="11" borderId="18" applyAlignment="1" pivotButton="0" quotePrefix="0" xfId="0">
      <alignment horizontal="left" vertical="center"/>
    </xf>
    <xf numFmtId="0" fontId="19" fillId="7" borderId="2" applyAlignment="1" pivotButton="0" quotePrefix="0" xfId="0">
      <alignment horizontal="left" vertical="center"/>
    </xf>
    <xf numFmtId="0" fontId="21" fillId="8" borderId="3" applyAlignment="1" pivotButton="0" quotePrefix="0" xfId="0">
      <alignment horizontal="left" vertical="center"/>
    </xf>
    <xf numFmtId="0" fontId="27" fillId="6" borderId="1" applyAlignment="1" pivotButton="0" quotePrefix="0" xfId="0">
      <alignment horizontal="left" vertical="center"/>
    </xf>
    <xf numFmtId="0" fontId="28" fillId="16" borderId="19" applyAlignment="1" pivotButton="0" quotePrefix="0" xfId="0">
      <alignment horizontal="left" vertical="center"/>
    </xf>
    <xf numFmtId="0" fontId="29" fillId="16" borderId="19" applyAlignment="1" pivotButton="0" quotePrefix="0" xfId="0">
      <alignment horizontal="left" vertical="center"/>
    </xf>
    <xf numFmtId="0" fontId="30" fillId="16" borderId="19" applyAlignment="1" pivotButton="0" quotePrefix="0" xfId="0">
      <alignment horizontal="left" vertical="center"/>
    </xf>
    <xf numFmtId="0" fontId="31" fillId="16" borderId="19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color rgb="00000000"/>
      </font>
      <fill>
        <patternFill patternType="solid">
          <fgColor rgb="00C8F5DB"/>
        </patternFill>
      </fill>
    </dxf>
    <dxf>
      <font>
        <color rgb="00000000"/>
      </font>
      <fill>
        <patternFill patternType="solid">
          <fgColor rgb="00FFF5B0"/>
        </patternFill>
      </fill>
    </dxf>
    <dxf>
      <font>
        <color rgb="00000000"/>
      </font>
      <fill>
        <patternFill patternType="solid">
          <fgColor rgb="00FF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CURVA ABC REGGAE — One Love, One Excel!</a:t>
            </a:r>
          </a:p>
        </rich>
      </tx>
    </title>
    <plotArea>
      <areaChart>
        <grouping val="stacked"/>
        <ser>
          <idx val="0"/>
          <order val="0"/>
          <tx>
            <v>Zona A 🟢</v>
          </tx>
          <spPr>
            <a:solidFill>
              <a:srgbClr val="ADEBAD"/>
            </a:solidFill>
            <a:ln>
              <a:prstDash val="solid"/>
            </a:ln>
          </spPr>
          <cat>
            <numRef>
              <f>'📊 CURVA ABC'!$R$10:$R$29</f>
            </numRef>
          </cat>
          <val>
            <numRef>
              <f>'📊 CURVA ABC'!$U$10:$U$29</f>
            </numRef>
          </val>
        </ser>
        <ser>
          <idx val="1"/>
          <order val="1"/>
          <tx>
            <v>Zona B 🟡</v>
          </tx>
          <spPr>
            <a:solidFill>
              <a:srgbClr val="FFE87C"/>
            </a:solidFill>
            <a:ln>
              <a:prstDash val="solid"/>
            </a:ln>
          </spPr>
          <cat>
            <numRef>
              <f>'📊 CURVA ABC'!$R$10:$R$29</f>
            </numRef>
          </cat>
          <val>
            <numRef>
              <f>'📊 CURVA ABC'!$V$10:$V$29</f>
            </numRef>
          </val>
        </ser>
        <ser>
          <idx val="2"/>
          <order val="2"/>
          <tx>
            <v>Zona C 🔴</v>
          </tx>
          <spPr>
            <a:solidFill>
              <a:srgbClr val="FFAD99"/>
            </a:solidFill>
            <a:ln>
              <a:prstDash val="solid"/>
            </a:ln>
          </spPr>
          <cat>
            <numRef>
              <f>'📊 CURVA ABC'!$R$10:$R$29</f>
            </numRef>
          </cat>
          <val>
            <numRef>
              <f>'📊 CURVA ABC'!$W$10:$W$29</f>
            </numRef>
          </val>
        </ser>
        <axId val="10"/>
        <axId val="100"/>
      </areaChart>
      <barChart>
        <barDir val="col"/>
        <grouping val="clustered"/>
        <ser>
          <idx val="3"/>
          <order val="3"/>
          <tx>
            <v>% Individual 📊</v>
          </tx>
          <spPr>
            <a:solidFill>
              <a:srgbClr val="2E75B6"/>
            </a:solidFill>
            <a:ln>
              <a:solidFill>
                <a:srgbClr val="1A4E8A"/>
              </a:solidFill>
              <a:prstDash val="solid"/>
            </a:ln>
          </spPr>
          <cat>
            <numRef>
              <f>'📊 CURVA ABC'!$R$10:$R$29</f>
            </numRef>
          </cat>
          <val>
            <numRef>
              <f>'📊 CURVA ABC'!$S$10:$S$29</f>
            </numRef>
          </val>
        </ser>
        <gapWidth val="150"/>
        <axId val="10"/>
        <axId val="100"/>
      </barChart>
      <lineChart>
        <grouping val="standard"/>
        <ser>
          <idx val="4"/>
          <order val="4"/>
          <tx>
            <v>% Acumulado 📈</v>
          </tx>
          <spPr>
            <a:ln w="28000">
              <a:solidFill>
                <a:srgbClr val="99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CURVA ABC'!$T$10:$T$29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Itens (ordenados por V.T. decrescente)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1080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 ht="8" customHeight="1">
      <c r="A1" s="1" t="n"/>
      <c r="B1" s="2" t="n"/>
      <c r="C1" s="3" t="n"/>
      <c r="D1" s="4" t="n"/>
      <c r="E1" s="5" t="n"/>
      <c r="F1" s="1" t="n"/>
    </row>
    <row r="2" ht="80" customHeight="1">
      <c r="A2" s="1" t="n"/>
      <c r="B2" s="6" t="inlineStr">
        <is>
          <t>🇯🇲 CURVA ABC REGGAE</t>
        </is>
      </c>
      <c r="F2" s="1" t="n"/>
    </row>
    <row r="3" ht="28" customHeight="1">
      <c r="A3" s="1" t="n"/>
      <c r="B3" s="7" t="inlineStr">
        <is>
          <t>One Love, One Excel! ✌️  —  Dashboard Profissional de Curva ABC</t>
        </is>
      </c>
      <c r="F3" s="1" t="n"/>
    </row>
    <row r="4" ht="8" customHeight="1">
      <c r="A4" s="1" t="n"/>
      <c r="B4" s="4" t="n"/>
      <c r="C4" s="3" t="n"/>
      <c r="D4" s="2" t="n"/>
      <c r="E4" s="5" t="n"/>
      <c r="F4" s="1" t="n"/>
    </row>
    <row r="5" ht="30" customHeight="1">
      <c r="A5" s="1" t="n"/>
      <c r="B5" s="8" t="inlineStr">
        <is>
          <t>🦁  Classifique seus produtos como um verdadeiro Rasta do Excel  🌿</t>
        </is>
      </c>
      <c r="F5" s="1" t="n"/>
    </row>
    <row r="6" ht="24" customHeight="1">
      <c r="A6" s="1" t="n"/>
      <c r="B6" s="9" t="inlineStr">
        <is>
          <t xml:space="preserve">   🎵  🎸  🥁  ☀️  🌊  ✈️  🌿  🦁  ❤️  🎵</t>
        </is>
      </c>
      <c r="F6" s="1" t="n"/>
    </row>
    <row r="7" ht="8" customHeight="1">
      <c r="A7" s="1" t="n"/>
      <c r="B7" s="1" t="n"/>
      <c r="C7" s="1" t="n"/>
      <c r="D7" s="1" t="n"/>
      <c r="E7" s="1" t="n"/>
      <c r="F7" s="1" t="n"/>
    </row>
    <row r="8" ht="26" customHeight="1">
      <c r="A8" s="1" t="n"/>
      <c r="B8" s="10" t="inlineStr">
        <is>
          <t>🟢  CLASSE A — Os Campeões de Valor</t>
        </is>
      </c>
      <c r="F8" s="1" t="n"/>
    </row>
    <row r="9" ht="20" customHeight="1">
      <c r="A9" s="1" t="n"/>
      <c r="B9" s="11" t="inlineStr">
        <is>
          <t xml:space="preserve">  •  80% do valor total em poucos itens</t>
        </is>
      </c>
      <c r="F9" s="1" t="n"/>
    </row>
    <row r="10" ht="20" customHeight="1">
      <c r="A10" s="1" t="n"/>
      <c r="B10" s="11" t="inlineStr">
        <is>
          <t xml:space="preserve">  •  Gestão rigorosa, estoque de segurança alto</t>
        </is>
      </c>
      <c r="F10" s="1" t="n"/>
    </row>
    <row r="11" ht="20" customHeight="1">
      <c r="A11" s="1" t="n"/>
      <c r="B11" s="11" t="inlineStr">
        <is>
          <t xml:space="preserve">  •  Fórmula: % acumulado ≤ 80%</t>
        </is>
      </c>
      <c r="F11" s="1" t="n"/>
    </row>
    <row r="12" ht="20" customHeight="1">
      <c r="A12" s="1" t="n"/>
      <c r="B12" s="1" t="n"/>
      <c r="C12" s="1" t="n"/>
      <c r="D12" s="1" t="n"/>
      <c r="E12" s="1" t="n"/>
      <c r="F12" s="1" t="n"/>
    </row>
    <row r="13" ht="26" customHeight="1">
      <c r="A13" s="1" t="n"/>
      <c r="B13" s="12" t="inlineStr">
        <is>
          <t>🟡  CLASSE B — Os Médios Necessários</t>
        </is>
      </c>
      <c r="F13" s="1" t="n"/>
    </row>
    <row r="14" ht="20" customHeight="1">
      <c r="A14" s="1" t="n"/>
      <c r="B14" s="13" t="inlineStr">
        <is>
          <t xml:space="preserve">  •  Entre 80% e 95% do valor acumulado</t>
        </is>
      </c>
      <c r="F14" s="1" t="n"/>
    </row>
    <row r="15" ht="20" customHeight="1">
      <c r="A15" s="1" t="n"/>
      <c r="B15" s="13" t="inlineStr">
        <is>
          <t xml:space="preserve">  •  Gestão intermediária, revise trimestralmente</t>
        </is>
      </c>
      <c r="F15" s="1" t="n"/>
    </row>
    <row r="16" ht="20" customHeight="1">
      <c r="A16" s="1" t="n"/>
      <c r="B16" s="13" t="inlineStr">
        <is>
          <t xml:space="preserve">  •  Fórmula: % acumulado de 80% a 95%</t>
        </is>
      </c>
      <c r="F16" s="1" t="n"/>
    </row>
    <row r="17" ht="20" customHeight="1">
      <c r="A17" s="1" t="n"/>
      <c r="B17" s="1" t="n"/>
      <c r="C17" s="1" t="n"/>
      <c r="D17" s="1" t="n"/>
      <c r="E17" s="1" t="n"/>
      <c r="F17" s="1" t="n"/>
    </row>
    <row r="18" ht="26" customHeight="1">
      <c r="A18" s="1" t="n"/>
      <c r="B18" s="14" t="inlineStr">
        <is>
          <t>🔴  CLASSE C — A Longa Cauda</t>
        </is>
      </c>
      <c r="F18" s="1" t="n"/>
    </row>
    <row r="19" ht="20" customHeight="1">
      <c r="A19" s="1" t="n"/>
      <c r="B19" s="15" t="inlineStr">
        <is>
          <t xml:space="preserve">  •  Os últimos 5% do valor acumulado</t>
        </is>
      </c>
      <c r="F19" s="1" t="n"/>
    </row>
    <row r="20" ht="20" customHeight="1">
      <c r="A20" s="1" t="n"/>
      <c r="B20" s="15" t="inlineStr">
        <is>
          <t xml:space="preserve">  •  Muitos itens, pouco impacto financeiro</t>
        </is>
      </c>
      <c r="F20" s="1" t="n"/>
    </row>
    <row r="21" ht="20" customHeight="1">
      <c r="A21" s="1" t="n"/>
      <c r="B21" s="15" t="inlineStr">
        <is>
          <t xml:space="preserve">  •  Fórmula: % acumulado acima de 95%</t>
        </is>
      </c>
      <c r="F21" s="1" t="n"/>
    </row>
    <row r="22" ht="20" customHeight="1">
      <c r="A22" s="1" t="n"/>
      <c r="B22" s="1" t="n"/>
      <c r="C22" s="1" t="n"/>
      <c r="D22" s="1" t="n"/>
      <c r="E22" s="1" t="n"/>
      <c r="F22" s="1" t="n"/>
    </row>
    <row r="23" ht="26" customHeight="1">
      <c r="A23" s="1" t="n"/>
      <c r="B23" s="16" t="inlineStr">
        <is>
          <t>⚙️  Como Usar Este Dashboard</t>
        </is>
      </c>
      <c r="F23" s="1" t="n"/>
    </row>
    <row r="24" ht="20" customHeight="1">
      <c r="A24" s="1" t="n"/>
      <c r="B24" s="17" t="inlineStr">
        <is>
          <t xml:space="preserve">  1️⃣  Vá para 📊 CURVA ABC e edite Qtd. e Custo Unit.</t>
        </is>
      </c>
      <c r="F24" s="1" t="n"/>
    </row>
    <row r="25" ht="20" customHeight="1">
      <c r="A25" s="1" t="n"/>
      <c r="B25" s="17" t="inlineStr">
        <is>
          <t xml:space="preserve">  2️⃣  O gráfico com as faixas coloridas atualiza automaticamente</t>
        </is>
      </c>
      <c r="F25" s="1" t="n"/>
    </row>
    <row r="26" ht="20" customHeight="1">
      <c r="A26" s="1" t="n"/>
      <c r="B26" s="17" t="inlineStr">
        <is>
          <t xml:space="preserve">  3️⃣  Para colorir via Excel Web: use o script na aba ⚙️ SCRIPTS</t>
        </is>
      </c>
      <c r="F26" s="1" t="n"/>
    </row>
    <row r="27" ht="20" customHeight="1">
      <c r="A27" s="1" t="n"/>
      <c r="B27" s="17" t="inlineStr">
        <is>
          <t xml:space="preserve">  4️⃣  Proteção ativa — senha: abc2026.</t>
        </is>
      </c>
      <c r="F27" s="1" t="n"/>
    </row>
    <row r="28" ht="20" customHeight="1">
      <c r="A28" s="1" t="n"/>
      <c r="B28" s="1" t="n"/>
      <c r="C28" s="1" t="n"/>
      <c r="D28" s="1" t="n"/>
      <c r="E28" s="1" t="n"/>
      <c r="F28" s="1" t="n"/>
    </row>
    <row r="29" ht="8" customHeight="1">
      <c r="A29" s="1" t="n"/>
      <c r="B29" s="1" t="n"/>
      <c r="C29" s="1" t="n"/>
      <c r="D29" s="1" t="n"/>
      <c r="E29" s="1" t="n"/>
      <c r="F29" s="1" t="n"/>
    </row>
    <row r="30" ht="22" customHeight="1">
      <c r="A30" s="1" t="n"/>
      <c r="B30" s="18" t="inlineStr">
        <is>
          <t>🇯🇲  Jah bless your spreadsheet!  |  One Love, One Excel!  |  2026  🌿</t>
        </is>
      </c>
      <c r="F30" s="1" t="n"/>
    </row>
    <row r="31" ht="20" customHeight="1">
      <c r="A31" s="1" t="n"/>
      <c r="B31" s="1" t="n"/>
      <c r="C31" s="1" t="n"/>
      <c r="D31" s="1" t="n"/>
      <c r="E31" s="1" t="n"/>
      <c r="F31" s="1" t="n"/>
    </row>
    <row r="32" ht="20" customHeight="1">
      <c r="A32" s="1" t="n"/>
      <c r="B32" s="1" t="n"/>
      <c r="C32" s="1" t="n"/>
      <c r="D32" s="1" t="n"/>
      <c r="E32" s="1" t="n"/>
      <c r="F32" s="1" t="n"/>
    </row>
    <row r="33" ht="20" customHeight="1">
      <c r="A33" s="1" t="n"/>
      <c r="B33" s="1" t="n"/>
      <c r="C33" s="1" t="n"/>
      <c r="D33" s="1" t="n"/>
      <c r="E33" s="1" t="n"/>
      <c r="F33" s="1" t="n"/>
    </row>
    <row r="34" ht="20" customHeight="1">
      <c r="A34" s="1" t="n"/>
      <c r="B34" s="1" t="n"/>
      <c r="C34" s="1" t="n"/>
      <c r="D34" s="1" t="n"/>
      <c r="E34" s="1" t="n"/>
      <c r="F34" s="1" t="n"/>
    </row>
    <row r="35" ht="20" customHeight="1">
      <c r="A35" s="1" t="n"/>
      <c r="B35" s="1" t="n"/>
      <c r="C35" s="1" t="n"/>
      <c r="D35" s="1" t="n"/>
      <c r="E35" s="1" t="n"/>
      <c r="F35" s="1" t="n"/>
    </row>
    <row r="36" ht="20" customHeight="1">
      <c r="A36" s="1" t="n"/>
      <c r="B36" s="1" t="n"/>
      <c r="C36" s="1" t="n"/>
      <c r="D36" s="1" t="n"/>
      <c r="E36" s="1" t="n"/>
      <c r="F36" s="1" t="n"/>
    </row>
    <row r="37" ht="20" customHeight="1">
      <c r="A37" s="1" t="n"/>
      <c r="B37" s="1" t="n"/>
      <c r="C37" s="1" t="n"/>
      <c r="D37" s="1" t="n"/>
      <c r="E37" s="1" t="n"/>
      <c r="F37" s="1" t="n"/>
    </row>
    <row r="38" ht="20" customHeight="1">
      <c r="A38" s="1" t="n"/>
      <c r="B38" s="1" t="n"/>
      <c r="C38" s="1" t="n"/>
      <c r="D38" s="1" t="n"/>
      <c r="E38" s="1" t="n"/>
      <c r="F38" s="1" t="n"/>
    </row>
    <row r="39" ht="20" customHeight="1">
      <c r="A39" s="1" t="n"/>
      <c r="B39" s="1" t="n"/>
      <c r="C39" s="1" t="n"/>
      <c r="D39" s="1" t="n"/>
      <c r="E39" s="1" t="n"/>
      <c r="F39" s="1" t="n"/>
    </row>
    <row r="40" ht="20" customHeight="1">
      <c r="A40" s="1" t="n"/>
      <c r="B40" s="1" t="n"/>
      <c r="C40" s="1" t="n"/>
      <c r="D40" s="1" t="n"/>
      <c r="E40" s="1" t="n"/>
      <c r="F40" s="1" t="n"/>
    </row>
    <row r="41" ht="20" customHeight="1">
      <c r="A41" s="1" t="n"/>
      <c r="B41" s="1" t="n"/>
      <c r="C41" s="1" t="n"/>
      <c r="D41" s="1" t="n"/>
      <c r="E41" s="1" t="n"/>
      <c r="F41" s="1" t="n"/>
    </row>
    <row r="42" ht="20" customHeight="1">
      <c r="A42" s="1" t="n"/>
      <c r="B42" s="1" t="n"/>
      <c r="C42" s="1" t="n"/>
      <c r="D42" s="1" t="n"/>
      <c r="E42" s="1" t="n"/>
      <c r="F42" s="1" t="n"/>
    </row>
    <row r="43" ht="20" customHeight="1">
      <c r="A43" s="1" t="n"/>
      <c r="B43" s="1" t="n"/>
      <c r="C43" s="1" t="n"/>
      <c r="D43" s="1" t="n"/>
      <c r="E43" s="1" t="n"/>
      <c r="F43" s="1" t="n"/>
    </row>
    <row r="44" ht="20" customHeight="1">
      <c r="A44" s="1" t="n"/>
      <c r="B44" s="1" t="n"/>
      <c r="C44" s="1" t="n"/>
      <c r="D44" s="1" t="n"/>
      <c r="E44" s="1" t="n"/>
      <c r="F44" s="1" t="n"/>
    </row>
    <row r="45" ht="20" customHeight="1">
      <c r="A45" s="1" t="n"/>
      <c r="B45" s="1" t="n"/>
      <c r="C45" s="1" t="n"/>
      <c r="D45" s="1" t="n"/>
      <c r="E45" s="1" t="n"/>
      <c r="F45" s="1" t="n"/>
    </row>
    <row r="46" ht="20" customHeight="1">
      <c r="A46" s="1" t="n"/>
      <c r="B46" s="1" t="n"/>
      <c r="C46" s="1" t="n"/>
      <c r="D46" s="1" t="n"/>
      <c r="E46" s="1" t="n"/>
      <c r="F46" s="1" t="n"/>
    </row>
    <row r="47" ht="20" customHeight="1">
      <c r="A47" s="1" t="n"/>
      <c r="B47" s="1" t="n"/>
      <c r="C47" s="1" t="n"/>
      <c r="D47" s="1" t="n"/>
      <c r="E47" s="1" t="n"/>
      <c r="F47" s="1" t="n"/>
    </row>
    <row r="48" ht="20" customHeight="1">
      <c r="A48" s="1" t="n"/>
      <c r="B48" s="1" t="n"/>
      <c r="C48" s="1" t="n"/>
      <c r="D48" s="1" t="n"/>
      <c r="E48" s="1" t="n"/>
      <c r="F48" s="1" t="n"/>
    </row>
    <row r="49" ht="20" customHeight="1">
      <c r="A49" s="1" t="n"/>
      <c r="B49" s="1" t="n"/>
      <c r="C49" s="1" t="n"/>
      <c r="D49" s="1" t="n"/>
      <c r="E49" s="1" t="n"/>
      <c r="F49" s="1" t="n"/>
    </row>
    <row r="50" ht="20" customHeight="1">
      <c r="A50" s="1" t="n"/>
      <c r="B50" s="1" t="n"/>
      <c r="C50" s="1" t="n"/>
      <c r="D50" s="1" t="n"/>
      <c r="E50" s="1" t="n"/>
      <c r="F50" s="1" t="n"/>
    </row>
    <row r="51" ht="20" customHeight="1">
      <c r="A51" s="1" t="n"/>
      <c r="B51" s="1" t="n"/>
      <c r="C51" s="1" t="n"/>
      <c r="D51" s="1" t="n"/>
      <c r="E51" s="1" t="n"/>
      <c r="F51" s="1" t="n"/>
    </row>
    <row r="52" ht="20" customHeight="1">
      <c r="A52" s="1" t="n"/>
      <c r="B52" s="1" t="n"/>
      <c r="C52" s="1" t="n"/>
      <c r="D52" s="1" t="n"/>
      <c r="E52" s="1" t="n"/>
      <c r="F52" s="1" t="n"/>
    </row>
    <row r="53" ht="20" customHeight="1">
      <c r="A53" s="1" t="n"/>
      <c r="B53" s="1" t="n"/>
      <c r="C53" s="1" t="n"/>
      <c r="D53" s="1" t="n"/>
      <c r="E53" s="1" t="n"/>
      <c r="F53" s="1" t="n"/>
    </row>
    <row r="54" ht="20" customHeight="1">
      <c r="A54" s="1" t="n"/>
      <c r="B54" s="1" t="n"/>
      <c r="C54" s="1" t="n"/>
      <c r="D54" s="1" t="n"/>
      <c r="E54" s="1" t="n"/>
      <c r="F54" s="1" t="n"/>
    </row>
  </sheetData>
  <mergeCells count="22">
    <mergeCell ref="B9:E9"/>
    <mergeCell ref="B6:E6"/>
    <mergeCell ref="B30:E30"/>
    <mergeCell ref="B15:E15"/>
    <mergeCell ref="B24:E24"/>
    <mergeCell ref="B5:E5"/>
    <mergeCell ref="B20:E20"/>
    <mergeCell ref="B26:E26"/>
    <mergeCell ref="B16:E16"/>
    <mergeCell ref="B25:E25"/>
    <mergeCell ref="B3:E3"/>
    <mergeCell ref="B18:E18"/>
    <mergeCell ref="B27:E27"/>
    <mergeCell ref="B21:E21"/>
    <mergeCell ref="B11:E11"/>
    <mergeCell ref="B2:E2"/>
    <mergeCell ref="B14:E14"/>
    <mergeCell ref="B23:E23"/>
    <mergeCell ref="B8:E8"/>
    <mergeCell ref="B13:E13"/>
    <mergeCell ref="B19:E19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B3A"/>
    <outlinePr summaryBelow="1" summaryRight="1"/>
    <pageSetUpPr/>
  </sheetPr>
  <dimension ref="A1:W3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30" customWidth="1" min="3" max="3"/>
    <col width="10" customWidth="1" min="4" max="4"/>
    <col width="14" customWidth="1" min="5" max="5"/>
    <col width="16" customWidth="1" min="6" max="6"/>
    <col width="12" customWidth="1" min="7" max="7"/>
    <col width="12" customWidth="1" min="8" max="8"/>
    <col width="2" customWidth="1" min="9" max="9"/>
    <col width="11" customWidth="1" min="10" max="10"/>
    <col width="16" customWidth="1" min="11" max="11"/>
    <col width="10" customWidth="1" min="12" max="12"/>
    <col width="10" customWidth="1" min="13" max="13"/>
    <col width="2" customWidth="1" min="14" max="14"/>
    <col width="12" customWidth="1" min="15" max="15"/>
    <col width="12" customWidth="1" min="16" max="16"/>
    <col width="2" customWidth="1" min="17" max="17"/>
    <col width="28" customWidth="1" min="18" max="18"/>
    <col width="14" customWidth="1" min="19" max="19"/>
    <col width="14" customWidth="1" min="20" max="20"/>
    <col width="10" customWidth="1" min="21" max="21"/>
    <col width="10" customWidth="1" min="22" max="22"/>
    <col width="10" customWidth="1" min="23" max="23"/>
  </cols>
  <sheetData>
    <row r="1" ht="52" customHeight="1">
      <c r="A1" s="19" t="inlineStr">
        <is>
          <t>🇯🇲  CURVA ABC REGGAE  —  One Love, One Excel! ✌️</t>
        </is>
      </c>
      <c r="I1" s="2" t="n"/>
      <c r="J1" s="20" t="inlineStr">
        <is>
          <t>🟢 A=até 80%  |🟡 B=80-95%  |🔴 C=95-100%</t>
        </is>
      </c>
      <c r="K1" s="4" t="n"/>
      <c r="L1" s="2" t="n"/>
      <c r="M1" s="5" t="n"/>
    </row>
    <row r="2" ht="24" customHeight="1">
      <c r="A2" s="21" t="inlineStr">
        <is>
          <t>V.T. TOTAL</t>
        </is>
      </c>
      <c r="B2" s="22" t="n"/>
      <c r="C2" s="23" t="inlineStr">
        <is>
          <t>🟢 V.T. CLASSE A</t>
        </is>
      </c>
      <c r="D2" s="22" t="n"/>
      <c r="E2" s="24" t="inlineStr">
        <is>
          <t>% ITENS CLASSE A</t>
        </is>
      </c>
      <c r="F2" s="22" t="n"/>
      <c r="G2" s="25" t="inlineStr">
        <is>
          <t>🔴 MAIOR V.T.</t>
        </is>
      </c>
      <c r="H2" s="26" t="n"/>
      <c r="J2" s="27" t="inlineStr">
        <is>
          <t>RESUMO POR CLASSE</t>
        </is>
      </c>
    </row>
    <row r="3" ht="24" customHeight="1">
      <c r="A3" s="28">
        <f>SUM($F$10:$F$29)</f>
        <v/>
      </c>
      <c r="B3" s="29" t="n"/>
      <c r="C3" s="30">
        <f>SUMIF($A$10:$A$29,"A",$F$10:$F$29)</f>
        <v/>
      </c>
      <c r="D3" s="29" t="n"/>
      <c r="E3" s="31">
        <f>IFERROR(COUNTIF($A$10:$A$29,"A")/COUNTA($B$10:$B$29),0)</f>
        <v/>
      </c>
      <c r="F3" s="29" t="n"/>
      <c r="G3" s="32">
        <f>MAX($F$10:$F$29)</f>
        <v/>
      </c>
      <c r="H3" s="33" t="n"/>
      <c r="J3" s="34" t="inlineStr">
        <is>
          <t>Classe</t>
        </is>
      </c>
      <c r="K3" s="34" t="inlineStr">
        <is>
          <t>Total V.T.</t>
        </is>
      </c>
      <c r="L3" s="34" t="inlineStr">
        <is>
          <t>% Total</t>
        </is>
      </c>
      <c r="M3" s="34" t="inlineStr">
        <is>
          <t>Qtd.</t>
        </is>
      </c>
    </row>
    <row r="4" ht="22" customHeight="1">
      <c r="A4" s="35" t="inlineStr">
        <is>
          <t>MENOR V.T.</t>
        </is>
      </c>
      <c r="B4" s="29" t="n"/>
      <c r="C4" s="36" t="inlineStr">
        <is>
          <t>🟡 V.T. CLASSE B</t>
        </is>
      </c>
      <c r="D4" s="29" t="n"/>
      <c r="E4" s="37" t="inlineStr">
        <is>
          <t>STATUS</t>
        </is>
      </c>
      <c r="F4" s="29" t="n"/>
      <c r="G4" s="37" t="inlineStr">
        <is>
          <t>ITENS TOTAIS</t>
        </is>
      </c>
      <c r="H4" s="33" t="n"/>
      <c r="J4" s="38" t="inlineStr">
        <is>
          <t>A</t>
        </is>
      </c>
      <c r="K4" s="39">
        <f>SUMIF($A$10:$A$29,"A",$F$10:$F$29)</f>
        <v/>
      </c>
      <c r="L4" s="40">
        <f>IFERROR(K4/SUM($F$10:$F$29),0)</f>
        <v/>
      </c>
      <c r="M4" s="41">
        <f>COUNTIF($A$10:$A$29,"A")</f>
        <v/>
      </c>
    </row>
    <row r="5" ht="22" customHeight="1">
      <c r="A5" s="28">
        <f>MIN($F$10:$F$29)</f>
        <v/>
      </c>
      <c r="B5" s="29" t="n"/>
      <c r="C5" s="42">
        <f>SUMIF($A$10:$A$29,"B",$F$10:$F$29)</f>
        <v/>
      </c>
      <c r="D5" s="29" t="n"/>
      <c r="E5" s="43">
        <f>IF(IFERROR(MAX($H$10:$H$29),0)&gt;1.0001,"⚠️ VERIFICAR","✅ OK")</f>
        <v/>
      </c>
      <c r="F5" s="29" t="n"/>
      <c r="G5" s="44">
        <f>COUNTA($B$10:$B$29)</f>
        <v/>
      </c>
      <c r="H5" s="33" t="n"/>
      <c r="J5" s="45" t="inlineStr">
        <is>
          <t>B</t>
        </is>
      </c>
      <c r="K5" s="46">
        <f>SUMIF($A$10:$A$29,"B",$F$10:$F$29)</f>
        <v/>
      </c>
      <c r="L5" s="47">
        <f>IFERROR(K5/SUM($F$10:$F$29),0)</f>
        <v/>
      </c>
      <c r="M5" s="48">
        <f>COUNTIF($A$10:$A$29,"B")</f>
        <v/>
      </c>
    </row>
    <row r="6" ht="22" customHeight="1">
      <c r="A6" s="49" t="inlineStr">
        <is>
          <t>⚙️  LIMITES
A / B</t>
        </is>
      </c>
      <c r="B6" s="29" t="n"/>
      <c r="C6" s="50" t="inlineStr">
        <is>
          <t>Limite A (ex: 80%):</t>
        </is>
      </c>
      <c r="D6" s="29" t="n"/>
      <c r="E6" s="51" t="n">
        <v>0.8</v>
      </c>
      <c r="F6" s="52" t="n"/>
      <c r="G6" s="52" t="n"/>
      <c r="H6" s="53" t="n"/>
      <c r="J6" s="54" t="inlineStr">
        <is>
          <t>C</t>
        </is>
      </c>
      <c r="K6" s="55">
        <f>SUMIF($A$10:$A$29,"C",$F$10:$F$29)</f>
        <v/>
      </c>
      <c r="L6" s="56">
        <f>IFERROR(K6/SUM($F$10:$F$29),0)</f>
        <v/>
      </c>
      <c r="M6" s="57">
        <f>COUNTIF($A$10:$A$29,"C")</f>
        <v/>
      </c>
    </row>
    <row r="7" ht="24" customHeight="1">
      <c r="A7" s="58" t="n"/>
      <c r="B7" s="59" t="n"/>
      <c r="C7" s="60" t="inlineStr">
        <is>
          <t>Limite B (ex: 95%):</t>
        </is>
      </c>
      <c r="D7" s="59" t="n"/>
      <c r="E7" s="61" t="n">
        <v>0.95</v>
      </c>
      <c r="F7" s="62" t="n"/>
      <c r="G7" s="62" t="n"/>
      <c r="H7" s="63" t="n"/>
      <c r="J7" s="64">
        <f>IF(IFERROR(MAX($H$10:$H$29),0)&gt;1.0001,"⚠️ VERIFICAR","✅ Tudo consistente")</f>
        <v/>
      </c>
    </row>
    <row r="8" ht="14" customHeight="1">
      <c r="A8" s="65" t="inlineStr">
        <is>
          <t xml:space="preserve">  🌿  Edite somente Qtd. (col D) e Custo Unit. (col E)  | Limites A/B nas células E6 e E7  | Gráfico atualiza automaticamente  🎵</t>
        </is>
      </c>
    </row>
    <row r="9" ht="26" customHeight="1">
      <c r="A9" s="66" t="inlineStr">
        <is>
          <t>ABC</t>
        </is>
      </c>
      <c r="B9" s="67" t="inlineStr">
        <is>
          <t>SKU</t>
        </is>
      </c>
      <c r="C9" s="67" t="inlineStr">
        <is>
          <t>Descrição</t>
        </is>
      </c>
      <c r="D9" s="68" t="inlineStr">
        <is>
          <t>Qtd.</t>
        </is>
      </c>
      <c r="E9" s="68" t="inlineStr">
        <is>
          <t>Custo Unit.(R$)</t>
        </is>
      </c>
      <c r="F9" s="66" t="inlineStr">
        <is>
          <t>V.T. (R$)</t>
        </is>
      </c>
      <c r="G9" s="67" t="inlineStr">
        <is>
          <t>% Individual</t>
        </is>
      </c>
      <c r="H9" s="67" t="inlineStr">
        <is>
          <t>% Acumulado</t>
        </is>
      </c>
      <c r="R9" s="69" t="inlineStr">
        <is>
          <t>Label</t>
        </is>
      </c>
      <c r="S9" s="69" t="inlineStr">
        <is>
          <t>% Ind.</t>
        </is>
      </c>
      <c r="T9" s="69" t="inlineStr">
        <is>
          <t>% Acum.</t>
        </is>
      </c>
      <c r="U9" s="69" t="inlineStr">
        <is>
          <t>Zona A</t>
        </is>
      </c>
      <c r="V9" s="69" t="inlineStr">
        <is>
          <t>Zona B</t>
        </is>
      </c>
      <c r="W9" s="69" t="inlineStr">
        <is>
          <t>Zona C</t>
        </is>
      </c>
    </row>
    <row r="10" ht="18" customHeight="1">
      <c r="A10" s="38">
        <f>IF($H10&lt;=$E$6,"A",IF($H10&lt;=$E$7,"B","C"))</f>
        <v/>
      </c>
      <c r="B10" s="70" t="inlineStr">
        <is>
          <t>SKU001</t>
        </is>
      </c>
      <c r="C10" s="71" t="inlineStr">
        <is>
          <t>Servidor Rack Dell Pro</t>
        </is>
      </c>
      <c r="D10" s="72" t="n">
        <v>15</v>
      </c>
      <c r="E10" s="73" t="n">
        <v>22500</v>
      </c>
      <c r="F10" s="74">
        <f>IFERROR(D10*E10,0)</f>
        <v/>
      </c>
      <c r="G10" s="75">
        <f>IFERROR(F10/SUM($F$10:$F$29),0)</f>
        <v/>
      </c>
      <c r="H10" s="75">
        <f>IFERROR(SUMIF($F$10:$F$29,"&gt;="&amp;F10,$F$10:$F$29)/SUM($F$10:$F$29),0)</f>
        <v/>
      </c>
      <c r="R10" s="76" t="inlineStr">
        <is>
          <t>SKU001 (A)</t>
        </is>
      </c>
      <c r="S10" s="77" t="n">
        <v>0.3454</v>
      </c>
      <c r="T10" s="77" t="n">
        <v>0.3454</v>
      </c>
      <c r="U10" s="78" t="n">
        <v>1</v>
      </c>
      <c r="V10" s="79" t="n">
        <v>0</v>
      </c>
      <c r="W10" s="80" t="n">
        <v>0</v>
      </c>
    </row>
    <row r="11" ht="18" customHeight="1">
      <c r="A11" s="38">
        <f>IF($H11&lt;=$E$6,"A",IF($H11&lt;=$E$7,"B","C"))</f>
        <v/>
      </c>
      <c r="B11" s="70" t="inlineStr">
        <is>
          <t>SKU002</t>
        </is>
      </c>
      <c r="C11" s="71" t="inlineStr">
        <is>
          <t>Storage NAS 40TB</t>
        </is>
      </c>
      <c r="D11" s="72" t="n">
        <v>3</v>
      </c>
      <c r="E11" s="73" t="n">
        <v>18500</v>
      </c>
      <c r="F11" s="74">
        <f>IFERROR(D11*E11,0)</f>
        <v/>
      </c>
      <c r="G11" s="75">
        <f>IFERROR(F11/SUM($F$10:$F$29),0)</f>
        <v/>
      </c>
      <c r="H11" s="75">
        <f>IFERROR(SUMIF($F$10:$F$29,"&gt;="&amp;F11,$F$10:$F$29)/SUM($F$10:$F$29),0)</f>
        <v/>
      </c>
      <c r="R11" s="76" t="inlineStr">
        <is>
          <t>SKU003 (A)</t>
        </is>
      </c>
      <c r="S11" s="77" t="n">
        <v>0.2063</v>
      </c>
      <c r="T11" s="77" t="n">
        <v>0.5518</v>
      </c>
      <c r="U11" s="78" t="n">
        <v>1</v>
      </c>
      <c r="V11" s="79" t="n">
        <v>0</v>
      </c>
      <c r="W11" s="80" t="n">
        <v>0</v>
      </c>
    </row>
    <row r="12" ht="18" customHeight="1">
      <c r="A12" s="38">
        <f>IF($H12&lt;=$E$6,"A",IF($H12&lt;=$E$7,"B","C"))</f>
        <v/>
      </c>
      <c r="B12" s="70" t="inlineStr">
        <is>
          <t>SKU003</t>
        </is>
      </c>
      <c r="C12" s="71" t="inlineStr">
        <is>
          <t>Notebook i7 32GB RAM</t>
        </is>
      </c>
      <c r="D12" s="72" t="n">
        <v>28</v>
      </c>
      <c r="E12" s="73" t="n">
        <v>7200</v>
      </c>
      <c r="F12" s="74">
        <f>IFERROR(D12*E12,0)</f>
        <v/>
      </c>
      <c r="G12" s="75">
        <f>IFERROR(F12/SUM($F$10:$F$29),0)</f>
        <v/>
      </c>
      <c r="H12" s="75">
        <f>IFERROR(SUMIF($F$10:$F$29,"&gt;="&amp;F12,$F$10:$F$29)/SUM($F$10:$F$29),0)</f>
        <v/>
      </c>
      <c r="R12" s="76" t="inlineStr">
        <is>
          <t>SKU004 (A)</t>
        </is>
      </c>
      <c r="S12" s="77" t="n">
        <v>0.07779999999999999</v>
      </c>
      <c r="T12" s="77" t="n">
        <v>0.6296</v>
      </c>
      <c r="U12" s="78" t="n">
        <v>1</v>
      </c>
      <c r="V12" s="79" t="n">
        <v>0</v>
      </c>
      <c r="W12" s="80" t="n">
        <v>0</v>
      </c>
    </row>
    <row r="13" ht="18" customHeight="1">
      <c r="A13" s="38">
        <f>IF($H13&lt;=$E$6,"A",IF($H13&lt;=$E$7,"B","C"))</f>
        <v/>
      </c>
      <c r="B13" s="70" t="inlineStr">
        <is>
          <t>SKU004</t>
        </is>
      </c>
      <c r="C13" s="71" t="inlineStr">
        <is>
          <t>Workstation Grafica RTX</t>
        </is>
      </c>
      <c r="D13" s="72" t="n">
        <v>8</v>
      </c>
      <c r="E13" s="73" t="n">
        <v>9500</v>
      </c>
      <c r="F13" s="74">
        <f>IFERROR(D13*E13,0)</f>
        <v/>
      </c>
      <c r="G13" s="75">
        <f>IFERROR(F13/SUM($F$10:$F$29),0)</f>
        <v/>
      </c>
      <c r="H13" s="75">
        <f>IFERROR(SUMIF($F$10:$F$29,"&gt;="&amp;F13,$F$10:$F$29)/SUM($F$10:$F$29),0)</f>
        <v/>
      </c>
      <c r="R13" s="76" t="inlineStr">
        <is>
          <t>SKU007 (A)</t>
        </is>
      </c>
      <c r="S13" s="77" t="n">
        <v>0.0619</v>
      </c>
      <c r="T13" s="77" t="n">
        <v>0.6915</v>
      </c>
      <c r="U13" s="78" t="n">
        <v>1</v>
      </c>
      <c r="V13" s="79" t="n">
        <v>0</v>
      </c>
      <c r="W13" s="80" t="n">
        <v>0</v>
      </c>
    </row>
    <row r="14" ht="18" customHeight="1">
      <c r="A14" s="45">
        <f>IF($H14&lt;=$E$6,"A",IF($H14&lt;=$E$7,"B","C"))</f>
        <v/>
      </c>
      <c r="B14" s="81" t="inlineStr">
        <is>
          <t>SKU005</t>
        </is>
      </c>
      <c r="C14" s="82" t="inlineStr">
        <is>
          <t>Placa de Video RTX 4070</t>
        </is>
      </c>
      <c r="D14" s="72" t="n">
        <v>6</v>
      </c>
      <c r="E14" s="73" t="n">
        <v>5500</v>
      </c>
      <c r="F14" s="83">
        <f>IFERROR(D14*E14,0)</f>
        <v/>
      </c>
      <c r="G14" s="84">
        <f>IFERROR(F14/SUM($F$10:$F$29),0)</f>
        <v/>
      </c>
      <c r="H14" s="84">
        <f>IFERROR(SUMIF($F$10:$F$29,"&gt;="&amp;F14,$F$10:$F$29)/SUM($F$10:$F$29),0)</f>
        <v/>
      </c>
      <c r="R14" s="76" t="inlineStr">
        <is>
          <t>SKU002 (A)</t>
        </is>
      </c>
      <c r="S14" s="77" t="n">
        <v>0.0568</v>
      </c>
      <c r="T14" s="77" t="n">
        <v>0.7483</v>
      </c>
      <c r="U14" s="78" t="n">
        <v>1</v>
      </c>
      <c r="V14" s="79" t="n">
        <v>0</v>
      </c>
      <c r="W14" s="80" t="n">
        <v>0</v>
      </c>
    </row>
    <row r="15" ht="18" customHeight="1">
      <c r="A15" s="38">
        <f>IF($H15&lt;=$E$6,"A",IF($H15&lt;=$E$7,"B","C"))</f>
        <v/>
      </c>
      <c r="B15" s="70" t="inlineStr">
        <is>
          <t>SKU006</t>
        </is>
      </c>
      <c r="C15" s="71" t="inlineStr">
        <is>
          <t>Switch Gerenciavel 48p</t>
        </is>
      </c>
      <c r="D15" s="72" t="n">
        <v>10</v>
      </c>
      <c r="E15" s="73" t="n">
        <v>4800</v>
      </c>
      <c r="F15" s="74">
        <f>IFERROR(D15*E15,0)</f>
        <v/>
      </c>
      <c r="G15" s="75">
        <f>IFERROR(F15/SUM($F$10:$F$29),0)</f>
        <v/>
      </c>
      <c r="H15" s="75">
        <f>IFERROR(SUMIF($F$10:$F$29,"&gt;="&amp;F15,$F$10:$F$29)/SUM($F$10:$F$29),0)</f>
        <v/>
      </c>
      <c r="R15" s="76" t="inlineStr">
        <is>
          <t>SKU006 (A)</t>
        </is>
      </c>
      <c r="S15" s="77" t="n">
        <v>0.0491</v>
      </c>
      <c r="T15" s="77" t="n">
        <v>0.7974</v>
      </c>
      <c r="U15" s="78" t="n">
        <v>1</v>
      </c>
      <c r="V15" s="79" t="n">
        <v>0</v>
      </c>
      <c r="W15" s="80" t="n">
        <v>0</v>
      </c>
    </row>
    <row r="16" ht="18" customHeight="1">
      <c r="A16" s="38">
        <f>IF($H16&lt;=$E$6,"A",IF($H16&lt;=$E$7,"B","C"))</f>
        <v/>
      </c>
      <c r="B16" s="70" t="inlineStr">
        <is>
          <t>SKU007</t>
        </is>
      </c>
      <c r="C16" s="71" t="inlineStr">
        <is>
          <t>Impressora Multifuncional</t>
        </is>
      </c>
      <c r="D16" s="72" t="n">
        <v>55</v>
      </c>
      <c r="E16" s="73" t="n">
        <v>1100</v>
      </c>
      <c r="F16" s="74">
        <f>IFERROR(D16*E16,0)</f>
        <v/>
      </c>
      <c r="G16" s="75">
        <f>IFERROR(F16/SUM($F$10:$F$29),0)</f>
        <v/>
      </c>
      <c r="H16" s="75">
        <f>IFERROR(SUMIF($F$10:$F$29,"&gt;="&amp;F16,$F$10:$F$29)/SUM($F$10:$F$29),0)</f>
        <v/>
      </c>
      <c r="R16" s="76" t="inlineStr">
        <is>
          <t>SKU011 (B)</t>
        </is>
      </c>
      <c r="S16" s="77" t="n">
        <v>0.0473</v>
      </c>
      <c r="T16" s="77" t="n">
        <v>0.8448</v>
      </c>
      <c r="U16" s="78" t="n">
        <v>0</v>
      </c>
      <c r="V16" s="79" t="n">
        <v>1</v>
      </c>
      <c r="W16" s="80" t="n">
        <v>0</v>
      </c>
    </row>
    <row r="17" ht="18" customHeight="1">
      <c r="A17" s="54">
        <f>IF($H17&lt;=$E$6,"A",IF($H17&lt;=$E$7,"B","C"))</f>
        <v/>
      </c>
      <c r="B17" s="85" t="inlineStr">
        <is>
          <t>SKU008</t>
        </is>
      </c>
      <c r="C17" s="86" t="inlineStr">
        <is>
          <t>Nobreak 1500VA</t>
        </is>
      </c>
      <c r="D17" s="72" t="n">
        <v>8</v>
      </c>
      <c r="E17" s="73" t="n">
        <v>1200</v>
      </c>
      <c r="F17" s="87">
        <f>IFERROR(D17*E17,0)</f>
        <v/>
      </c>
      <c r="G17" s="88">
        <f>IFERROR(F17/SUM($F$10:$F$29),0)</f>
        <v/>
      </c>
      <c r="H17" s="88">
        <f>IFERROR(SUMIF($F$10:$F$29,"&gt;="&amp;F17,$F$10:$F$29)/SUM($F$10:$F$29),0)</f>
        <v/>
      </c>
      <c r="R17" s="76" t="inlineStr">
        <is>
          <t>SKU005 (B)</t>
        </is>
      </c>
      <c r="S17" s="77" t="n">
        <v>0.0338</v>
      </c>
      <c r="T17" s="77" t="n">
        <v>0.8784999999999999</v>
      </c>
      <c r="U17" s="78" t="n">
        <v>0</v>
      </c>
      <c r="V17" s="79" t="n">
        <v>1</v>
      </c>
      <c r="W17" s="80" t="n">
        <v>0</v>
      </c>
    </row>
    <row r="18" ht="18" customHeight="1">
      <c r="A18" s="45">
        <f>IF($H18&lt;=$E$6,"A",IF($H18&lt;=$E$7,"B","C"))</f>
        <v/>
      </c>
      <c r="B18" s="81" t="inlineStr">
        <is>
          <t>SKU009</t>
        </is>
      </c>
      <c r="C18" s="82" t="inlineStr">
        <is>
          <t>Monitor LED 24"</t>
        </is>
      </c>
      <c r="D18" s="72" t="n">
        <v>20</v>
      </c>
      <c r="E18" s="73" t="n">
        <v>850</v>
      </c>
      <c r="F18" s="83">
        <f>IFERROR(D18*E18,0)</f>
        <v/>
      </c>
      <c r="G18" s="84">
        <f>IFERROR(F18/SUM($F$10:$F$29),0)</f>
        <v/>
      </c>
      <c r="H18" s="84">
        <f>IFERROR(SUMIF($F$10:$F$29,"&gt;="&amp;F18,$F$10:$F$29)/SUM($F$10:$F$29),0)</f>
        <v/>
      </c>
      <c r="R18" s="76" t="inlineStr">
        <is>
          <t>SKU013 (B)</t>
        </is>
      </c>
      <c r="S18" s="77" t="n">
        <v>0.0175</v>
      </c>
      <c r="T18" s="77" t="n">
        <v>0.896</v>
      </c>
      <c r="U18" s="78" t="n">
        <v>0</v>
      </c>
      <c r="V18" s="79" t="n">
        <v>1</v>
      </c>
      <c r="W18" s="80" t="n">
        <v>0</v>
      </c>
    </row>
    <row r="19" ht="18" customHeight="1">
      <c r="A19" s="45">
        <f>IF($H19&lt;=$E$6,"A",IF($H19&lt;=$E$7,"B","C"))</f>
        <v/>
      </c>
      <c r="B19" s="81" t="inlineStr">
        <is>
          <t>SKU010</t>
        </is>
      </c>
      <c r="C19" s="82" t="inlineStr">
        <is>
          <t>Roteador Wi-Fi 6</t>
        </is>
      </c>
      <c r="D19" s="72" t="n">
        <v>25</v>
      </c>
      <c r="E19" s="73" t="n">
        <v>650</v>
      </c>
      <c r="F19" s="83">
        <f>IFERROR(D19*E19,0)</f>
        <v/>
      </c>
      <c r="G19" s="84">
        <f>IFERROR(F19/SUM($F$10:$F$29),0)</f>
        <v/>
      </c>
      <c r="H19" s="84">
        <f>IFERROR(SUMIF($F$10:$F$29,"&gt;="&amp;F19,$F$10:$F$29)/SUM($F$10:$F$29),0)</f>
        <v/>
      </c>
      <c r="R19" s="76" t="inlineStr">
        <is>
          <t>SKU009 (B)</t>
        </is>
      </c>
      <c r="S19" s="77" t="n">
        <v>0.0174</v>
      </c>
      <c r="T19" s="77" t="n">
        <v>0.9134</v>
      </c>
      <c r="U19" s="78" t="n">
        <v>0</v>
      </c>
      <c r="V19" s="79" t="n">
        <v>1</v>
      </c>
      <c r="W19" s="80" t="n">
        <v>0</v>
      </c>
    </row>
    <row r="20" ht="18" customHeight="1">
      <c r="A20" s="45">
        <f>IF($H20&lt;=$E$6,"A",IF($H20&lt;=$E$7,"B","C"))</f>
        <v/>
      </c>
      <c r="B20" s="81" t="inlineStr">
        <is>
          <t>SKU011</t>
        </is>
      </c>
      <c r="C20" s="82" t="inlineStr">
        <is>
          <t>Toner Impressora Laser</t>
        </is>
      </c>
      <c r="D20" s="72" t="n">
        <v>68</v>
      </c>
      <c r="E20" s="73" t="n">
        <v>680</v>
      </c>
      <c r="F20" s="83">
        <f>IFERROR(D20*E20,0)</f>
        <v/>
      </c>
      <c r="G20" s="84">
        <f>IFERROR(F20/SUM($F$10:$F$29),0)</f>
        <v/>
      </c>
      <c r="H20" s="84">
        <f>IFERROR(SUMIF($F$10:$F$29,"&gt;="&amp;F20,$F$10:$F$29)/SUM($F$10:$F$29),0)</f>
        <v/>
      </c>
      <c r="R20" s="76" t="inlineStr">
        <is>
          <t>SKU010 (B)</t>
        </is>
      </c>
      <c r="S20" s="77" t="n">
        <v>0.0166</v>
      </c>
      <c r="T20" s="77" t="n">
        <v>0.9301</v>
      </c>
      <c r="U20" s="78" t="n">
        <v>0</v>
      </c>
      <c r="V20" s="79" t="n">
        <v>1</v>
      </c>
      <c r="W20" s="80" t="n">
        <v>0</v>
      </c>
    </row>
    <row r="21" ht="18" customHeight="1">
      <c r="A21" s="54">
        <f>IF($H21&lt;=$E$6,"A",IF($H21&lt;=$E$7,"B","C"))</f>
        <v/>
      </c>
      <c r="B21" s="85" t="inlineStr">
        <is>
          <t>SKU012</t>
        </is>
      </c>
      <c r="C21" s="86" t="inlineStr">
        <is>
          <t>HD Externo 2TB</t>
        </is>
      </c>
      <c r="D21" s="72" t="n">
        <v>18</v>
      </c>
      <c r="E21" s="73" t="n">
        <v>420</v>
      </c>
      <c r="F21" s="87">
        <f>IFERROR(D21*E21,0)</f>
        <v/>
      </c>
      <c r="G21" s="88">
        <f>IFERROR(F21/SUM($F$10:$F$29),0)</f>
        <v/>
      </c>
      <c r="H21" s="88">
        <f>IFERROR(SUMIF($F$10:$F$29,"&gt;="&amp;F21,$F$10:$F$29)/SUM($F$10:$F$29),0)</f>
        <v/>
      </c>
      <c r="R21" s="76" t="inlineStr">
        <is>
          <t>SKU014 (B)</t>
        </is>
      </c>
      <c r="S21" s="77" t="n">
        <v>0.0151</v>
      </c>
      <c r="T21" s="77" t="n">
        <v>0.9452</v>
      </c>
      <c r="U21" s="78" t="n">
        <v>0</v>
      </c>
      <c r="V21" s="79" t="n">
        <v>1</v>
      </c>
      <c r="W21" s="80" t="n">
        <v>0</v>
      </c>
    </row>
    <row r="22" ht="18" customHeight="1">
      <c r="A22" s="45">
        <f>IF($H22&lt;=$E$6,"A",IF($H22&lt;=$E$7,"B","C"))</f>
        <v/>
      </c>
      <c r="B22" s="81" t="inlineStr">
        <is>
          <t>SKU013</t>
        </is>
      </c>
      <c r="C22" s="82" t="inlineStr">
        <is>
          <t>Memoria RAM 16GB</t>
        </is>
      </c>
      <c r="D22" s="72" t="n">
        <v>45</v>
      </c>
      <c r="E22" s="73" t="n">
        <v>380</v>
      </c>
      <c r="F22" s="83">
        <f>IFERROR(D22*E22,0)</f>
        <v/>
      </c>
      <c r="G22" s="84">
        <f>IFERROR(F22/SUM($F$10:$F$29),0)</f>
        <v/>
      </c>
      <c r="H22" s="84">
        <f>IFERROR(SUMIF($F$10:$F$29,"&gt;="&amp;F22,$F$10:$F$29)/SUM($F$10:$F$29),0)</f>
        <v/>
      </c>
      <c r="R22" s="76" t="inlineStr">
        <is>
          <t>SKU015 (C)</t>
        </is>
      </c>
      <c r="S22" s="77" t="n">
        <v>0.0107</v>
      </c>
      <c r="T22" s="77" t="n">
        <v>0.9559</v>
      </c>
      <c r="U22" s="78" t="n">
        <v>0</v>
      </c>
      <c r="V22" s="79" t="n">
        <v>0</v>
      </c>
      <c r="W22" s="80" t="n">
        <v>1</v>
      </c>
    </row>
    <row r="23" ht="18" customHeight="1">
      <c r="A23" s="45">
        <f>IF($H23&lt;=$E$6,"A",IF($H23&lt;=$E$7,"B","C"))</f>
        <v/>
      </c>
      <c r="B23" s="81" t="inlineStr">
        <is>
          <t>SKU014</t>
        </is>
      </c>
      <c r="C23" s="82" t="inlineStr">
        <is>
          <t>Webcam Full HD</t>
        </is>
      </c>
      <c r="D23" s="72" t="n">
        <v>82</v>
      </c>
      <c r="E23" s="73" t="n">
        <v>180</v>
      </c>
      <c r="F23" s="83">
        <f>IFERROR(D23*E23,0)</f>
        <v/>
      </c>
      <c r="G23" s="84">
        <f>IFERROR(F23/SUM($F$10:$F$29),0)</f>
        <v/>
      </c>
      <c r="H23" s="84">
        <f>IFERROR(SUMIF($F$10:$F$29,"&gt;="&amp;F23,$F$10:$F$29)/SUM($F$10:$F$29),0)</f>
        <v/>
      </c>
      <c r="R23" s="76" t="inlineStr">
        <is>
          <t>SKU008 (C)</t>
        </is>
      </c>
      <c r="S23" s="77" t="n">
        <v>0.0098</v>
      </c>
      <c r="T23" s="77" t="n">
        <v>0.9657</v>
      </c>
      <c r="U23" s="78" t="n">
        <v>0</v>
      </c>
      <c r="V23" s="79" t="n">
        <v>0</v>
      </c>
      <c r="W23" s="80" t="n">
        <v>1</v>
      </c>
    </row>
    <row r="24" ht="18" customHeight="1">
      <c r="A24" s="54">
        <f>IF($H24&lt;=$E$6,"A",IF($H24&lt;=$E$7,"B","C"))</f>
        <v/>
      </c>
      <c r="B24" s="85" t="inlineStr">
        <is>
          <t>SKU015</t>
        </is>
      </c>
      <c r="C24" s="86" t="inlineStr">
        <is>
          <t>SSD 480GB Sata</t>
        </is>
      </c>
      <c r="D24" s="72" t="n">
        <v>55</v>
      </c>
      <c r="E24" s="73" t="n">
        <v>190</v>
      </c>
      <c r="F24" s="87">
        <f>IFERROR(D24*E24,0)</f>
        <v/>
      </c>
      <c r="G24" s="88">
        <f>IFERROR(F24/SUM($F$10:$F$29),0)</f>
        <v/>
      </c>
      <c r="H24" s="88">
        <f>IFERROR(SUMIF($F$10:$F$29,"&gt;="&amp;F24,$F$10:$F$29)/SUM($F$10:$F$29),0)</f>
        <v/>
      </c>
      <c r="R24" s="76" t="inlineStr">
        <is>
          <t>SKU012 (C)</t>
        </is>
      </c>
      <c r="S24" s="77" t="n">
        <v>0.0077</v>
      </c>
      <c r="T24" s="77" t="n">
        <v>0.9734</v>
      </c>
      <c r="U24" s="78" t="n">
        <v>0</v>
      </c>
      <c r="V24" s="79" t="n">
        <v>0</v>
      </c>
      <c r="W24" s="80" t="n">
        <v>1</v>
      </c>
    </row>
    <row r="25" ht="18" customHeight="1">
      <c r="A25" s="54">
        <f>IF($H25&lt;=$E$6,"A",IF($H25&lt;=$E$7,"B","C"))</f>
        <v/>
      </c>
      <c r="B25" s="85" t="inlineStr">
        <is>
          <t>SKU016</t>
        </is>
      </c>
      <c r="C25" s="86" t="inlineStr">
        <is>
          <t>Teclado Mecanico RGB</t>
        </is>
      </c>
      <c r="D25" s="72" t="n">
        <v>30</v>
      </c>
      <c r="E25" s="73" t="n">
        <v>250</v>
      </c>
      <c r="F25" s="87">
        <f>IFERROR(D25*E25,0)</f>
        <v/>
      </c>
      <c r="G25" s="88">
        <f>IFERROR(F25/SUM($F$10:$F$29),0)</f>
        <v/>
      </c>
      <c r="H25" s="88">
        <f>IFERROR(SUMIF($F$10:$F$29,"&gt;="&amp;F25,$F$10:$F$29)/SUM($F$10:$F$29),0)</f>
        <v/>
      </c>
      <c r="R25" s="76" t="inlineStr">
        <is>
          <t>SKU016 (C)</t>
        </is>
      </c>
      <c r="S25" s="77" t="n">
        <v>0.0077</v>
      </c>
      <c r="T25" s="77" t="n">
        <v>0.9811</v>
      </c>
      <c r="U25" s="78" t="n">
        <v>0</v>
      </c>
      <c r="V25" s="79" t="n">
        <v>0</v>
      </c>
      <c r="W25" s="80" t="n">
        <v>1</v>
      </c>
    </row>
    <row r="26" ht="18" customHeight="1">
      <c r="A26" s="54">
        <f>IF($H26&lt;=$E$6,"A",IF($H26&lt;=$E$7,"B","C"))</f>
        <v/>
      </c>
      <c r="B26" s="85" t="inlineStr">
        <is>
          <t>SKU017</t>
        </is>
      </c>
      <c r="C26" s="86" t="inlineStr">
        <is>
          <t>Pen Drive 64GB</t>
        </is>
      </c>
      <c r="D26" s="72" t="n">
        <v>160</v>
      </c>
      <c r="E26" s="73" t="n">
        <v>45</v>
      </c>
      <c r="F26" s="87">
        <f>IFERROR(D26*E26,0)</f>
        <v/>
      </c>
      <c r="G26" s="88">
        <f>IFERROR(F26/SUM($F$10:$F$29),0)</f>
        <v/>
      </c>
      <c r="H26" s="88">
        <f>IFERROR(SUMIF($F$10:$F$29,"&gt;="&amp;F26,$F$10:$F$29)/SUM($F$10:$F$29),0)</f>
        <v/>
      </c>
      <c r="R26" s="76" t="inlineStr">
        <is>
          <t>SKU017 (C)</t>
        </is>
      </c>
      <c r="S26" s="77" t="n">
        <v>0.0074</v>
      </c>
      <c r="T26" s="77" t="n">
        <v>0.9885</v>
      </c>
      <c r="U26" s="78" t="n">
        <v>0</v>
      </c>
      <c r="V26" s="79" t="n">
        <v>0</v>
      </c>
      <c r="W26" s="80" t="n">
        <v>1</v>
      </c>
    </row>
    <row r="27" ht="18" customHeight="1">
      <c r="A27" s="54">
        <f>IF($H27&lt;=$E$6,"A",IF($H27&lt;=$E$7,"B","C"))</f>
        <v/>
      </c>
      <c r="B27" s="85" t="inlineStr">
        <is>
          <t>SKU018</t>
        </is>
      </c>
      <c r="C27" s="86" t="inlineStr">
        <is>
          <t>Headset com Microfone</t>
        </is>
      </c>
      <c r="D27" s="72" t="n">
        <v>64</v>
      </c>
      <c r="E27" s="73" t="n">
        <v>110</v>
      </c>
      <c r="F27" s="87">
        <f>IFERROR(D27*E27,0)</f>
        <v/>
      </c>
      <c r="G27" s="88">
        <f>IFERROR(F27/SUM($F$10:$F$29),0)</f>
        <v/>
      </c>
      <c r="H27" s="88">
        <f>IFERROR(SUMIF($F$10:$F$29,"&gt;="&amp;F27,$F$10:$F$29)/SUM($F$10:$F$29),0)</f>
        <v/>
      </c>
      <c r="R27" s="76" t="inlineStr">
        <is>
          <t>SKU018 (C)</t>
        </is>
      </c>
      <c r="S27" s="77" t="n">
        <v>0.0072</v>
      </c>
      <c r="T27" s="77" t="n">
        <v>0.9957</v>
      </c>
      <c r="U27" s="78" t="n">
        <v>0</v>
      </c>
      <c r="V27" s="79" t="n">
        <v>0</v>
      </c>
      <c r="W27" s="80" t="n">
        <v>1</v>
      </c>
    </row>
    <row r="28" ht="18" customHeight="1">
      <c r="A28" s="54">
        <f>IF($H28&lt;=$E$6,"A",IF($H28&lt;=$E$7,"B","C"))</f>
        <v/>
      </c>
      <c r="B28" s="85" t="inlineStr">
        <is>
          <t>SKU019</t>
        </is>
      </c>
      <c r="C28" s="86" t="inlineStr">
        <is>
          <t>Mouse Optico Simples</t>
        </is>
      </c>
      <c r="D28" s="72" t="n">
        <v>120</v>
      </c>
      <c r="E28" s="73" t="n">
        <v>15</v>
      </c>
      <c r="F28" s="87">
        <f>IFERROR(D28*E28,0)</f>
        <v/>
      </c>
      <c r="G28" s="88">
        <f>IFERROR(F28/SUM($F$10:$F$29),0)</f>
        <v/>
      </c>
      <c r="H28" s="88">
        <f>IFERROR(SUMIF($F$10:$F$29,"&gt;="&amp;F28,$F$10:$F$29)/SUM($F$10:$F$29),0)</f>
        <v/>
      </c>
      <c r="R28" s="76" t="inlineStr">
        <is>
          <t>SKU020 (C)</t>
        </is>
      </c>
      <c r="S28" s="77" t="n">
        <v>0.0025</v>
      </c>
      <c r="T28" s="77" t="n">
        <v>0.9982</v>
      </c>
      <c r="U28" s="78" t="n">
        <v>0</v>
      </c>
      <c r="V28" s="79" t="n">
        <v>0</v>
      </c>
      <c r="W28" s="80" t="n">
        <v>1</v>
      </c>
    </row>
    <row r="29" ht="18" customHeight="1">
      <c r="A29" s="54">
        <f>IF($H29&lt;=$E$6,"A",IF($H29&lt;=$E$7,"B","C"))</f>
        <v/>
      </c>
      <c r="B29" s="85" t="inlineStr">
        <is>
          <t>SKU020</t>
        </is>
      </c>
      <c r="C29" s="86" t="inlineStr">
        <is>
          <t>Patch Cord RJ45 1m</t>
        </is>
      </c>
      <c r="D29" s="72" t="n">
        <v>200</v>
      </c>
      <c r="E29" s="73" t="n">
        <v>12</v>
      </c>
      <c r="F29" s="87">
        <f>IFERROR(D29*E29,0)</f>
        <v/>
      </c>
      <c r="G29" s="88">
        <f>IFERROR(F29/SUM($F$10:$F$29),0)</f>
        <v/>
      </c>
      <c r="H29" s="88">
        <f>IFERROR(SUMIF($F$10:$F$29,"&gt;="&amp;F29,$F$10:$F$29)/SUM($F$10:$F$29),0)</f>
        <v/>
      </c>
      <c r="R29" s="76" t="inlineStr">
        <is>
          <t>SKU019 (C)</t>
        </is>
      </c>
      <c r="S29" s="77" t="n">
        <v>0.0018</v>
      </c>
      <c r="T29" s="77" t="n">
        <v>1</v>
      </c>
      <c r="U29" s="78" t="n">
        <v>0</v>
      </c>
      <c r="V29" s="79" t="n">
        <v>0</v>
      </c>
      <c r="W29" s="80" t="n">
        <v>1</v>
      </c>
    </row>
    <row r="30" ht="22" customHeight="1">
      <c r="A30" s="89" t="inlineStr">
        <is>
          <t>TOTAL GERAL</t>
        </is>
      </c>
      <c r="B30" s="90" t="n"/>
      <c r="C30" s="90" t="n"/>
      <c r="D30" s="91">
        <f>SUM(D10:D29)</f>
        <v/>
      </c>
      <c r="E30" s="92" t="n"/>
      <c r="F30" s="93">
        <f>SUM(F10:F29)</f>
        <v/>
      </c>
      <c r="G30" s="94" t="n">
        <v>1</v>
      </c>
      <c r="H30" s="94" t="n">
        <v>1</v>
      </c>
    </row>
    <row r="31" ht="18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5">
    <mergeCell ref="C6:D6"/>
    <mergeCell ref="G2:H2"/>
    <mergeCell ref="A8:M8"/>
    <mergeCell ref="C5:D5"/>
    <mergeCell ref="E5:F5"/>
    <mergeCell ref="J2:M2"/>
    <mergeCell ref="A1:H1"/>
    <mergeCell ref="C4:D4"/>
    <mergeCell ref="E4:F4"/>
    <mergeCell ref="A3:B3"/>
    <mergeCell ref="G3:H3"/>
    <mergeCell ref="J1:M1"/>
    <mergeCell ref="A2:B2"/>
    <mergeCell ref="C2:D2"/>
    <mergeCell ref="E2:F2"/>
    <mergeCell ref="A5:B5"/>
    <mergeCell ref="G5:H5"/>
    <mergeCell ref="A30:C30"/>
    <mergeCell ref="A4:B4"/>
    <mergeCell ref="G4:H4"/>
    <mergeCell ref="C7:D7"/>
    <mergeCell ref="A6:B7"/>
    <mergeCell ref="J7:M7"/>
    <mergeCell ref="C3:D3"/>
    <mergeCell ref="E3:F3"/>
  </mergeCells>
  <conditionalFormatting sqref="A10:H29">
    <cfRule type="expression" priority="1" dxfId="0">
      <formula>$A10="A"</formula>
    </cfRule>
    <cfRule type="expression" priority="2" dxfId="1">
      <formula>$A10="B"</formula>
    </cfRule>
    <cfRule type="expression" priority="3" dxfId="2">
      <formula>$A10="C"</formula>
    </cfRule>
  </conditionalFormatting>
  <dataValidations count="2">
    <dataValidation sqref="E6" showDropDown="0" showInputMessage="0" showErrorMessage="1" allowBlank="0" errorTitle="❌ Valor Inválido" error="Limite A deve ser entre 50% e 89%" type="decimal" operator="between">
      <formula1>0.5</formula1>
      <formula2>0.89</formula2>
    </dataValidation>
    <dataValidation sqref="E7" showDropDown="0" showInputMessage="0" showErrorMessage="1" allowBlank="0" errorTitle="❌ Valor Inválido" error="Limite B deve ser entre 50% e 99%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90000"/>
    <outlinePr summaryBelow="1" summaryRight="1"/>
    <pageSetUpPr/>
  </sheetPr>
  <dimension ref="A1:D119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100" customWidth="1" min="3" max="3"/>
    <col width="6" customWidth="1" min="4" max="4"/>
  </cols>
  <sheetData>
    <row r="1" ht="8" customHeight="1">
      <c r="A1" s="2" t="n"/>
      <c r="B1" s="3" t="n"/>
      <c r="C1" s="4" t="n"/>
      <c r="D1" s="5" t="n"/>
    </row>
    <row r="2" ht="56" customHeight="1">
      <c r="A2" s="1" t="n"/>
      <c r="B2" s="19" t="inlineStr">
        <is>
          <t>⚙️  OFFICE SCRIPTS — One Love, One Excel! 🇯🇲</t>
        </is>
      </c>
      <c r="C2" s="1" t="n"/>
      <c r="D2" s="1" t="n"/>
    </row>
    <row r="3" ht="18" customHeight="1">
      <c r="A3" s="1" t="n"/>
      <c r="B3" s="95" t="inlineStr">
        <is>
          <t>📋  COMO USAR O SCRIPT ABAIXO:</t>
        </is>
      </c>
      <c r="C3" s="1" t="n"/>
      <c r="D3" s="1" t="n"/>
    </row>
    <row r="4" ht="18" customHeight="1">
      <c r="A4" s="1" t="n"/>
      <c r="B4" s="96" t="inlineStr">
        <is>
          <t xml:space="preserve">  1️⃣  Abra seu arquivo .xlsx no Excel Web (office.com ou Microsoft 365)</t>
        </is>
      </c>
      <c r="C4" s="1" t="n"/>
      <c r="D4" s="1" t="n"/>
    </row>
    <row r="5" ht="18" customHeight="1">
      <c r="A5" s="1" t="n"/>
      <c r="B5" s="96" t="inlineStr">
        <is>
          <t xml:space="preserve">  2️⃣  Clique na aba "Automatizar" no menu superior do Excel Web</t>
        </is>
      </c>
      <c r="C5" s="1" t="n"/>
      <c r="D5" s="1" t="n"/>
    </row>
    <row r="6" ht="18" customHeight="1">
      <c r="A6" s="1" t="n"/>
      <c r="B6" s="96" t="inlineStr">
        <is>
          <t xml:space="preserve">  3️⃣  Clique em "Novo Script" e apague o código padrão</t>
        </is>
      </c>
      <c r="C6" s="1" t="n"/>
      <c r="D6" s="1" t="n"/>
    </row>
    <row r="7" ht="18" customHeight="1">
      <c r="A7" s="1" t="n"/>
      <c r="B7" s="96" t="inlineStr">
        <is>
          <t xml:space="preserve">  4️⃣  Copie TODO o código abaixo e cole no editor de scripts</t>
        </is>
      </c>
      <c r="C7" s="1" t="n"/>
      <c r="D7" s="1" t="n"/>
    </row>
    <row r="8" ht="18" customHeight="1">
      <c r="A8" s="1" t="n"/>
      <c r="B8" s="96" t="inlineStr">
        <is>
          <t xml:space="preserve">  5️⃣  Ajuste as constantes no topo (NOME_ABA, LINHA_INICIO, etc.) se necessário</t>
        </is>
      </c>
      <c r="C8" s="1" t="n"/>
      <c r="D8" s="1" t="n"/>
    </row>
    <row r="9" ht="18" customHeight="1">
      <c r="A9" s="1" t="n"/>
      <c r="B9" s="96" t="inlineStr">
        <is>
          <t xml:space="preserve">  6️⃣  Clique em "Executar" 🎵  —  As cores reggae serão aplicadas!</t>
        </is>
      </c>
      <c r="C9" s="1" t="n"/>
      <c r="D9" s="1" t="n"/>
    </row>
    <row r="10" ht="18" customHeight="1">
      <c r="A10" s="1" t="n"/>
      <c r="B10" s="97" t="inlineStr">
        <is>
          <t xml:space="preserve">  ✅  O script colore as linhas: Verde (A) | Dourado (B) | Vermelho (C)</t>
        </is>
      </c>
      <c r="C10" s="1" t="n"/>
      <c r="D10" s="1" t="n"/>
    </row>
    <row r="11" ht="18" customHeight="1">
      <c r="A11" s="1" t="n"/>
      <c r="B11" s="98" t="inlineStr">
        <is>
          <t xml:space="preserve">  ⚠️  VBA não roda no Excel Web — use este Office Script (TypeScript) no lugar</t>
        </is>
      </c>
      <c r="C11" s="1" t="n"/>
      <c r="D11" s="1" t="n"/>
    </row>
    <row r="12" ht="10" customHeight="1">
      <c r="A12" s="1" t="n"/>
      <c r="B12" s="1" t="n"/>
      <c r="C12" s="1" t="n"/>
      <c r="D12" s="1" t="n"/>
    </row>
    <row r="13" ht="22" customHeight="1">
      <c r="A13" s="1" t="n"/>
      <c r="B13" s="99" t="inlineStr">
        <is>
          <t xml:space="preserve">  📜  CÓDIGO TYPESCRIPT — Copie tudo abaixo:</t>
        </is>
      </c>
      <c r="C13" s="1" t="n"/>
      <c r="D13" s="1" t="n"/>
    </row>
    <row r="14" ht="15" customHeight="1">
      <c r="A14" s="1" t="n"/>
      <c r="B14" s="100" t="inlineStr">
        <is>
          <t>/**</t>
        </is>
      </c>
      <c r="C14" s="1" t="n"/>
      <c r="D14" s="1" t="n"/>
    </row>
    <row r="15" ht="15" customHeight="1">
      <c r="A15" s="1" t="n"/>
      <c r="B15" s="100" t="inlineStr">
        <is>
          <t xml:space="preserve"> * ================================================================</t>
        </is>
      </c>
      <c r="C15" s="1" t="n"/>
      <c r="D15" s="1" t="n"/>
    </row>
    <row r="16" ht="15" customHeight="1">
      <c r="A16" s="1" t="n"/>
      <c r="B16" s="100" t="inlineStr">
        <is>
          <t xml:space="preserve"> *  🇯🇲 ONE LOVE, ONE EXCEL! — Curva ABC Reggae Automator</t>
        </is>
      </c>
      <c r="C16" s="1" t="n"/>
      <c r="D16" s="1" t="n"/>
    </row>
    <row r="17" ht="15" customHeight="1">
      <c r="A17" s="1" t="n"/>
      <c r="B17" s="100" t="inlineStr">
        <is>
          <t xml:space="preserve"> *  Office Script para Excel Web (TypeScript)</t>
        </is>
      </c>
      <c r="C17" s="1" t="n"/>
      <c r="D17" s="1" t="n"/>
    </row>
    <row r="18" ht="15" customHeight="1">
      <c r="A18" s="1" t="n"/>
      <c r="B18" s="100" t="inlineStr">
        <is>
          <t xml:space="preserve"> * ================================================================</t>
        </is>
      </c>
      <c r="C18" s="1" t="n"/>
      <c r="D18" s="1" t="n"/>
    </row>
    <row r="19" ht="15" customHeight="1">
      <c r="A19" s="1" t="n"/>
      <c r="B19" s="100" t="inlineStr">
        <is>
          <t xml:space="preserve"> *  COMO USAR:</t>
        </is>
      </c>
      <c r="C19" s="1" t="n"/>
      <c r="D19" s="1" t="n"/>
    </row>
    <row r="20" ht="15" customHeight="1">
      <c r="A20" s="1" t="n"/>
      <c r="B20" s="100" t="inlineStr">
        <is>
          <t xml:space="preserve"> *  1. Abra o arquivo no Excel Web (office.com)</t>
        </is>
      </c>
      <c r="C20" s="1" t="n"/>
      <c r="D20" s="1" t="n"/>
    </row>
    <row r="21" ht="15" customHeight="1">
      <c r="A21" s="1" t="n"/>
      <c r="B21" s="100" t="inlineStr">
        <is>
          <t xml:space="preserve"> *  2. Clique em "Automatizar" → "Novo Script"</t>
        </is>
      </c>
      <c r="C21" s="1" t="n"/>
      <c r="D21" s="1" t="n"/>
    </row>
    <row r="22" ht="15" customHeight="1">
      <c r="A22" s="1" t="n"/>
      <c r="B22" s="100" t="inlineStr">
        <is>
          <t xml:space="preserve"> *  3. Apague o código padrão e cole ESTE script inteiro</t>
        </is>
      </c>
      <c r="C22" s="1" t="n"/>
      <c r="D22" s="1" t="n"/>
    </row>
    <row r="23" ht="15" customHeight="1">
      <c r="A23" s="1" t="n"/>
      <c r="B23" s="100" t="inlineStr">
        <is>
          <t xml:space="preserve"> *  4. Clique em "Executar" 🎵</t>
        </is>
      </c>
      <c r="C23" s="1" t="n"/>
      <c r="D23" s="1" t="n"/>
    </row>
    <row r="24" ht="15" customHeight="1">
      <c r="A24" s="1" t="n"/>
      <c r="B24" s="100" t="inlineStr">
        <is>
          <t xml:space="preserve"> *</t>
        </is>
      </c>
      <c r="C24" s="1" t="n"/>
      <c r="D24" s="1" t="n"/>
    </row>
    <row r="25" ht="15" customHeight="1">
      <c r="A25" s="1" t="n"/>
      <c r="B25" s="100" t="inlineStr">
        <is>
          <t xml:space="preserve"> *  Jah bless your spreadsheet! 🌿</t>
        </is>
      </c>
      <c r="C25" s="1" t="n"/>
      <c r="D25" s="1" t="n"/>
    </row>
    <row r="26" ht="15" customHeight="1">
      <c r="A26" s="1" t="n"/>
      <c r="B26" s="100" t="inlineStr">
        <is>
          <t xml:space="preserve"> * ================================================================</t>
        </is>
      </c>
      <c r="C26" s="1" t="n"/>
      <c r="D26" s="1" t="n"/>
    </row>
    <row r="27" ht="15" customHeight="1">
      <c r="A27" s="1" t="n"/>
      <c r="B27" s="100" t="inlineStr">
        <is>
          <t xml:space="preserve"> */</t>
        </is>
      </c>
      <c r="C27" s="1" t="n"/>
      <c r="D27" s="1" t="n"/>
    </row>
    <row r="28" ht="15" customHeight="1">
      <c r="A28" s="1" t="n"/>
      <c r="B28" s="101" t="inlineStr">
        <is>
          <t>function main(workbook: ExcelScript.Workbook) {</t>
        </is>
      </c>
      <c r="C28" s="1" t="n"/>
      <c r="D28" s="1" t="n"/>
    </row>
    <row r="29" ht="15" customHeight="1">
      <c r="A29" s="1" t="n"/>
      <c r="B29" s="102" t="inlineStr">
        <is>
          <t> </t>
        </is>
      </c>
      <c r="C29" s="1" t="n"/>
      <c r="D29" s="1" t="n"/>
    </row>
    <row r="30" ht="15" customHeight="1">
      <c r="A30" s="1" t="n"/>
      <c r="B30" s="100" t="inlineStr">
        <is>
          <t xml:space="preserve">  // 🎵 CONFIGURAÇÕES — ajuste conforme sua planilha</t>
        </is>
      </c>
      <c r="C30" s="1" t="n"/>
      <c r="D30" s="1" t="n"/>
    </row>
    <row r="31" ht="15" customHeight="1">
      <c r="A31" s="1" t="n"/>
      <c r="B31" s="101" t="inlineStr">
        <is>
          <t xml:space="preserve">  const NOME_ABA      = "📊 CURVA ABC";  // Nome exato da aba</t>
        </is>
      </c>
      <c r="C31" s="1" t="n"/>
      <c r="D31" s="1" t="n"/>
    </row>
    <row r="32" ht="15" customHeight="1">
      <c r="A32" s="1" t="n"/>
      <c r="B32" s="101" t="inlineStr">
        <is>
          <t xml:space="preserve">  const LINHA_INICIO  = 10;              // Linha onde começam os dados (1-based)</t>
        </is>
      </c>
      <c r="C32" s="1" t="n"/>
      <c r="D32" s="1" t="n"/>
    </row>
    <row r="33" ht="15" customHeight="1">
      <c r="A33" s="1" t="n"/>
      <c r="B33" s="101" t="inlineStr">
        <is>
          <t xml:space="preserve">  const COL_ABC       = 1;              // Coluna da classificação ABC (A=1)</t>
        </is>
      </c>
      <c r="C33" s="1" t="n"/>
      <c r="D33" s="1" t="n"/>
    </row>
    <row r="34" ht="15" customHeight="1">
      <c r="A34" s="1" t="n"/>
      <c r="B34" s="101" t="inlineStr">
        <is>
          <t xml:space="preserve">  const COL_INICIO    = 1;              // 1ª coluna dos dados</t>
        </is>
      </c>
      <c r="C34" s="1" t="n"/>
      <c r="D34" s="1" t="n"/>
    </row>
    <row r="35" ht="15" customHeight="1">
      <c r="A35" s="1" t="n"/>
      <c r="B35" s="101" t="inlineStr">
        <is>
          <t xml:space="preserve">  const COL_FIM       = 8;             // Última coluna dos dados</t>
        </is>
      </c>
      <c r="C35" s="1" t="n"/>
      <c r="D35" s="1" t="n"/>
    </row>
    <row r="36" ht="15" customHeight="1">
      <c r="A36" s="1" t="n"/>
      <c r="B36" s="101" t="inlineStr">
        <is>
          <t xml:space="preserve">  const LIMITE_A      = 0.80;           // 80% para classe A</t>
        </is>
      </c>
      <c r="C36" s="1" t="n"/>
      <c r="D36" s="1" t="n"/>
    </row>
    <row r="37" ht="15" customHeight="1">
      <c r="A37" s="1" t="n"/>
      <c r="B37" s="101" t="inlineStr">
        <is>
          <t xml:space="preserve">  const LIMITE_B      = 0.95;           // 95% para classe B</t>
        </is>
      </c>
      <c r="C37" s="1" t="n"/>
      <c r="D37" s="1" t="n"/>
    </row>
    <row r="38" ht="15" customHeight="1">
      <c r="A38" s="1" t="n"/>
      <c r="B38" s="102" t="inlineStr">
        <is>
          <t> </t>
        </is>
      </c>
      <c r="C38" s="1" t="n"/>
      <c r="D38" s="1" t="n"/>
    </row>
    <row r="39" ht="15" customHeight="1">
      <c r="A39" s="1" t="n"/>
      <c r="B39" s="100" t="inlineStr">
        <is>
          <t xml:space="preserve">  // 🦁 PALETA REGGAE — Jah Colors</t>
        </is>
      </c>
      <c r="C39" s="1" t="n"/>
      <c r="D39" s="1" t="n"/>
    </row>
    <row r="40" ht="15" customHeight="1">
      <c r="A40" s="1" t="n"/>
      <c r="B40" s="101" t="inlineStr">
        <is>
          <t xml:space="preserve">  const COR_A_LINHA  = "#C8F5DB";  // Verde claro — fundo linha A</t>
        </is>
      </c>
      <c r="C40" s="1" t="n"/>
      <c r="D40" s="1" t="n"/>
    </row>
    <row r="41" ht="15" customHeight="1">
      <c r="A41" s="1" t="n"/>
      <c r="B41" s="101" t="inlineStr">
        <is>
          <t xml:space="preserve">  const COR_A_BADGE  = "#006B28";  // Verde escuro — célula ABC</t>
        </is>
      </c>
      <c r="C41" s="1" t="n"/>
      <c r="D41" s="1" t="n"/>
    </row>
    <row r="42" ht="15" customHeight="1">
      <c r="A42" s="1" t="n"/>
      <c r="B42" s="101" t="inlineStr">
        <is>
          <t xml:space="preserve">  const COR_B_LINHA  = "#FFF5B0";  // Dourado claro — fundo linha B</t>
        </is>
      </c>
      <c r="C42" s="1" t="n"/>
      <c r="D42" s="1" t="n"/>
    </row>
    <row r="43" ht="15" customHeight="1">
      <c r="A43" s="1" t="n"/>
      <c r="B43" s="101" t="inlineStr">
        <is>
          <t xml:space="preserve">  const COR_B_BADGE  = "#C8A400";  // Dourado escuro — célula ABC</t>
        </is>
      </c>
      <c r="C43" s="1" t="n"/>
      <c r="D43" s="1" t="n"/>
    </row>
    <row r="44" ht="15" customHeight="1">
      <c r="A44" s="1" t="n"/>
      <c r="B44" s="101" t="inlineStr">
        <is>
          <t xml:space="preserve">  const COR_C_LINHA  = "#FFD0D0";  // Vermelho claro — fundo linha C</t>
        </is>
      </c>
      <c r="C44" s="1" t="n"/>
      <c r="D44" s="1" t="n"/>
    </row>
    <row r="45" ht="15" customHeight="1">
      <c r="A45" s="1" t="n"/>
      <c r="B45" s="101" t="inlineStr">
        <is>
          <t xml:space="preserve">  const COR_C_BADGE  = "#990000";  // Vermelho escuro — célula ABC</t>
        </is>
      </c>
      <c r="C45" s="1" t="n"/>
      <c r="D45" s="1" t="n"/>
    </row>
    <row r="46" ht="15" customHeight="1">
      <c r="A46" s="1" t="n"/>
      <c r="B46" s="101" t="inlineStr">
        <is>
          <t xml:space="preserve">  const BRANCO       = "#FFFFFF";</t>
        </is>
      </c>
      <c r="C46" s="1" t="n"/>
      <c r="D46" s="1" t="n"/>
    </row>
    <row r="47" ht="15" customHeight="1">
      <c r="A47" s="1" t="n"/>
      <c r="B47" s="101" t="inlineStr">
        <is>
          <t xml:space="preserve">  const PRETO        = "#000000";</t>
        </is>
      </c>
      <c r="C47" s="1" t="n"/>
      <c r="D47" s="1" t="n"/>
    </row>
    <row r="48" ht="15" customHeight="1">
      <c r="A48" s="1" t="n"/>
      <c r="B48" s="102" t="inlineStr">
        <is>
          <t> </t>
        </is>
      </c>
      <c r="C48" s="1" t="n"/>
      <c r="D48" s="1" t="n"/>
    </row>
    <row r="49" ht="15" customHeight="1">
      <c r="A49" s="1" t="n"/>
      <c r="B49" s="100" t="inlineStr">
        <is>
          <t xml:space="preserve">  // 🌿 Pega a planilha</t>
        </is>
      </c>
      <c r="C49" s="1" t="n"/>
      <c r="D49" s="1" t="n"/>
    </row>
    <row r="50" ht="15" customHeight="1">
      <c r="A50" s="1" t="n"/>
      <c r="B50" s="101" t="inlineStr">
        <is>
          <t xml:space="preserve">  const sheet = workbook.getWorksheet(NOME_ABA);</t>
        </is>
      </c>
      <c r="C50" s="1" t="n"/>
      <c r="D50" s="1" t="n"/>
    </row>
    <row r="51" ht="15" customHeight="1">
      <c r="A51" s="1" t="n"/>
      <c r="B51" s="101" t="inlineStr">
        <is>
          <t xml:space="preserve">  if (!sheet) {</t>
        </is>
      </c>
      <c r="C51" s="1" t="n"/>
      <c r="D51" s="1" t="n"/>
    </row>
    <row r="52" ht="15" customHeight="1">
      <c r="A52" s="1" t="n"/>
      <c r="B52" s="101" t="inlineStr">
        <is>
          <t xml:space="preserve">    console.log(`❌ Aba "${NOME_ABA}" não encontrada! Verifique o nome exato.`);</t>
        </is>
      </c>
      <c r="C52" s="1" t="n"/>
      <c r="D52" s="1" t="n"/>
    </row>
    <row r="53" ht="15" customHeight="1">
      <c r="A53" s="1" t="n"/>
      <c r="B53" s="101" t="inlineStr">
        <is>
          <t xml:space="preserve">    return;</t>
        </is>
      </c>
      <c r="C53" s="1" t="n"/>
      <c r="D53" s="1" t="n"/>
    </row>
    <row r="54" ht="15" customHeight="1">
      <c r="A54" s="1" t="n"/>
      <c r="B54" s="102" t="inlineStr">
        <is>
          <t xml:space="preserve">  }</t>
        </is>
      </c>
      <c r="C54" s="1" t="n"/>
      <c r="D54" s="1" t="n"/>
    </row>
    <row r="55" ht="15" customHeight="1">
      <c r="A55" s="1" t="n"/>
      <c r="B55" s="102" t="inlineStr">
        <is>
          <t> </t>
        </is>
      </c>
      <c r="C55" s="1" t="n"/>
      <c r="D55" s="1" t="n"/>
    </row>
    <row r="56" ht="15" customHeight="1">
      <c r="A56" s="1" t="n"/>
      <c r="B56" s="100" t="inlineStr">
        <is>
          <t xml:space="preserve">  // 📊 Descobre a última linha com dados</t>
        </is>
      </c>
      <c r="C56" s="1" t="n"/>
      <c r="D56" s="1" t="n"/>
    </row>
    <row r="57" ht="15" customHeight="1">
      <c r="A57" s="1" t="n"/>
      <c r="B57" s="101" t="inlineStr">
        <is>
          <t xml:space="preserve">  const usedRange  = sheet.getUsedRange();</t>
        </is>
      </c>
      <c r="C57" s="1" t="n"/>
      <c r="D57" s="1" t="n"/>
    </row>
    <row r="58" ht="15" customHeight="1">
      <c r="A58" s="1" t="n"/>
      <c r="B58" s="101" t="inlineStr">
        <is>
          <t xml:space="preserve">  if (!usedRange) { console.log("❌ Planilha vazia, mon!"); return; }</t>
        </is>
      </c>
      <c r="C58" s="1" t="n"/>
      <c r="D58" s="1" t="n"/>
    </row>
    <row r="59" ht="15" customHeight="1">
      <c r="A59" s="1" t="n"/>
      <c r="B59" s="101" t="inlineStr">
        <is>
          <t xml:space="preserve">  const ultimaLinha = usedRange.getLastRow().getRowIndex() + 1; // 1-based</t>
        </is>
      </c>
      <c r="C59" s="1" t="n"/>
      <c r="D59" s="1" t="n"/>
    </row>
    <row r="60" ht="15" customHeight="1">
      <c r="A60" s="1" t="n"/>
      <c r="B60" s="102" t="inlineStr">
        <is>
          <t> </t>
        </is>
      </c>
      <c r="C60" s="1" t="n"/>
      <c r="D60" s="1" t="n"/>
    </row>
    <row r="61" ht="15" customHeight="1">
      <c r="A61" s="1" t="n"/>
      <c r="B61" s="101" t="inlineStr">
        <is>
          <t xml:space="preserve">  console.log(`🎵 Iniciando coloração reggae... Verificando linhas ${LINHA_INICIO} até ${ultimaLinha}`);</t>
        </is>
      </c>
      <c r="C61" s="1" t="n"/>
      <c r="D61" s="1" t="n"/>
    </row>
    <row r="62" ht="15" customHeight="1">
      <c r="A62" s="1" t="n"/>
      <c r="B62" s="102" t="inlineStr">
        <is>
          <t> </t>
        </is>
      </c>
      <c r="C62" s="1" t="n"/>
      <c r="D62" s="1" t="n"/>
    </row>
    <row r="63" ht="15" customHeight="1">
      <c r="A63" s="1" t="n"/>
      <c r="B63" s="101" t="inlineStr">
        <is>
          <t xml:space="preserve">  let countA = 0, countB = 0, countC = 0, skip = 0;</t>
        </is>
      </c>
      <c r="C63" s="1" t="n"/>
      <c r="D63" s="1" t="n"/>
    </row>
    <row r="64" ht="15" customHeight="1">
      <c r="A64" s="1" t="n"/>
      <c r="B64" s="102" t="inlineStr">
        <is>
          <t> </t>
        </is>
      </c>
      <c r="C64" s="1" t="n"/>
      <c r="D64" s="1" t="n"/>
    </row>
    <row r="65" ht="15" customHeight="1">
      <c r="A65" s="1" t="n"/>
      <c r="B65" s="100" t="inlineStr">
        <is>
          <t xml:space="preserve">  // ☀️ Loop linha por linha — Bob Marley style: um passo de cada vez</t>
        </is>
      </c>
      <c r="C65" s="1" t="n"/>
      <c r="D65" s="1" t="n"/>
    </row>
    <row r="66" ht="15" customHeight="1">
      <c r="A66" s="1" t="n"/>
      <c r="B66" s="101" t="inlineStr">
        <is>
          <t xml:space="preserve">  for (let row = LINHA_INICIO; row &lt;= ultimaLinha; row++) {</t>
        </is>
      </c>
      <c r="C66" s="1" t="n"/>
      <c r="D66" s="1" t="n"/>
    </row>
    <row r="67" ht="15" customHeight="1">
      <c r="A67" s="1" t="n"/>
      <c r="B67" s="101" t="inlineStr">
        <is>
          <t xml:space="preserve">    const cellABC  = sheet.getCell(row - 1, COL_ABC - 1);         // 0-based</t>
        </is>
      </c>
      <c r="C67" s="1" t="n"/>
      <c r="D67" s="1" t="n"/>
    </row>
    <row r="68" ht="15" customHeight="1">
      <c r="A68" s="1" t="n"/>
      <c r="B68" s="101" t="inlineStr">
        <is>
          <t xml:space="preserve">    const valorABC = String(cellABC.getValue() ?? "").trim().toUpperCase();</t>
        </is>
      </c>
      <c r="C68" s="1" t="n"/>
      <c r="D68" s="1" t="n"/>
    </row>
    <row r="69" ht="15" customHeight="1">
      <c r="A69" s="1" t="n"/>
      <c r="B69" s="102" t="inlineStr">
        <is>
          <t> </t>
        </is>
      </c>
      <c r="C69" s="1" t="n"/>
      <c r="D69" s="1" t="n"/>
    </row>
    <row r="70" ht="15" customHeight="1">
      <c r="A70" s="1" t="n"/>
      <c r="B70" s="101" t="inlineStr">
        <is>
          <t xml:space="preserve">    if (valorABC !== "A" &amp;&amp; valorABC !== "B" &amp;&amp; valorABC !== "C") {</t>
        </is>
      </c>
      <c r="C70" s="1" t="n"/>
      <c r="D70" s="1" t="n"/>
    </row>
    <row r="71" ht="15" customHeight="1">
      <c r="A71" s="1" t="n"/>
      <c r="B71" s="102" t="inlineStr">
        <is>
          <t xml:space="preserve">      skip++;</t>
        </is>
      </c>
      <c r="C71" s="1" t="n"/>
      <c r="D71" s="1" t="n"/>
    </row>
    <row r="72" ht="15" customHeight="1">
      <c r="A72" s="1" t="n"/>
      <c r="B72" s="102" t="inlineStr">
        <is>
          <t xml:space="preserve">      continue;</t>
        </is>
      </c>
      <c r="C72" s="1" t="n"/>
      <c r="D72" s="1" t="n"/>
    </row>
    <row r="73" ht="15" customHeight="1">
      <c r="A73" s="1" t="n"/>
      <c r="B73" s="102" t="inlineStr">
        <is>
          <t xml:space="preserve">    }</t>
        </is>
      </c>
      <c r="C73" s="1" t="n"/>
      <c r="D73" s="1" t="n"/>
    </row>
    <row r="74" ht="15" customHeight="1">
      <c r="A74" s="1" t="n"/>
      <c r="B74" s="102" t="inlineStr">
        <is>
          <t> </t>
        </is>
      </c>
      <c r="C74" s="1" t="n"/>
      <c r="D74" s="1" t="n"/>
    </row>
    <row r="75" ht="15" customHeight="1">
      <c r="A75" s="1" t="n"/>
      <c r="B75" s="100" t="inlineStr">
        <is>
          <t xml:space="preserve">    // 🌊 Range da linha inteira (colunas de dados)</t>
        </is>
      </c>
      <c r="C75" s="1" t="n"/>
      <c r="D75" s="1" t="n"/>
    </row>
    <row r="76" ht="15" customHeight="1">
      <c r="A76" s="1" t="n"/>
      <c r="B76" s="101" t="inlineStr">
        <is>
          <t xml:space="preserve">    const rowRange = sheet.getRangeByIndexes(</t>
        </is>
      </c>
      <c r="C76" s="1" t="n"/>
      <c r="D76" s="1" t="n"/>
    </row>
    <row r="77" ht="15" customHeight="1">
      <c r="A77" s="1" t="n"/>
      <c r="B77" s="102" t="inlineStr">
        <is>
          <t xml:space="preserve">      row - 1, COL_INICIO - 1, 1, COL_FIM</t>
        </is>
      </c>
      <c r="C77" s="1" t="n"/>
      <c r="D77" s="1" t="n"/>
    </row>
    <row r="78" ht="15" customHeight="1">
      <c r="A78" s="1" t="n"/>
      <c r="B78" s="102" t="inlineStr">
        <is>
          <t xml:space="preserve">    );</t>
        </is>
      </c>
      <c r="C78" s="1" t="n"/>
      <c r="D78" s="1" t="n"/>
    </row>
    <row r="79" ht="15" customHeight="1">
      <c r="A79" s="1" t="n"/>
      <c r="B79" s="102" t="inlineStr">
        <is>
          <t> </t>
        </is>
      </c>
      <c r="C79" s="1" t="n"/>
      <c r="D79" s="1" t="n"/>
    </row>
    <row r="80" ht="15" customHeight="1">
      <c r="A80" s="1" t="n"/>
      <c r="B80" s="101" t="inlineStr">
        <is>
          <t xml:space="preserve">    let corLinha: string;</t>
        </is>
      </c>
      <c r="C80" s="1" t="n"/>
      <c r="D80" s="1" t="n"/>
    </row>
    <row r="81" ht="15" customHeight="1">
      <c r="A81" s="1" t="n"/>
      <c r="B81" s="101" t="inlineStr">
        <is>
          <t xml:space="preserve">    let corBadge: string;</t>
        </is>
      </c>
      <c r="C81" s="1" t="n"/>
      <c r="D81" s="1" t="n"/>
    </row>
    <row r="82" ht="15" customHeight="1">
      <c r="A82" s="1" t="n"/>
      <c r="B82" s="102" t="inlineStr">
        <is>
          <t> </t>
        </is>
      </c>
      <c r="C82" s="1" t="n"/>
      <c r="D82" s="1" t="n"/>
    </row>
    <row r="83" ht="15" customHeight="1">
      <c r="A83" s="1" t="n"/>
      <c r="B83" s="101" t="inlineStr">
        <is>
          <t xml:space="preserve">    if (valorABC === "A") {</t>
        </is>
      </c>
      <c r="C83" s="1" t="n"/>
      <c r="D83" s="1" t="n"/>
    </row>
    <row r="84" ht="15" customHeight="1">
      <c r="A84" s="1" t="n"/>
      <c r="B84" s="102" t="inlineStr">
        <is>
          <t xml:space="preserve">      corLinha = COR_A_LINHA; corBadge = COR_A_BADGE; countA++;</t>
        </is>
      </c>
      <c r="C84" s="1" t="n"/>
      <c r="D84" s="1" t="n"/>
    </row>
    <row r="85" ht="15" customHeight="1">
      <c r="A85" s="1" t="n"/>
      <c r="B85" s="101" t="inlineStr">
        <is>
          <t xml:space="preserve">    } else if (valorABC === "B") {</t>
        </is>
      </c>
      <c r="C85" s="1" t="n"/>
      <c r="D85" s="1" t="n"/>
    </row>
    <row r="86" ht="15" customHeight="1">
      <c r="A86" s="1" t="n"/>
      <c r="B86" s="102" t="inlineStr">
        <is>
          <t xml:space="preserve">      corLinha = COR_B_LINHA; corBadge = COR_B_BADGE; countB++;</t>
        </is>
      </c>
      <c r="C86" s="1" t="n"/>
      <c r="D86" s="1" t="n"/>
    </row>
    <row r="87" ht="15" customHeight="1">
      <c r="A87" s="1" t="n"/>
      <c r="B87" s="101" t="inlineStr">
        <is>
          <t xml:space="preserve">    } else {</t>
        </is>
      </c>
      <c r="C87" s="1" t="n"/>
      <c r="D87" s="1" t="n"/>
    </row>
    <row r="88" ht="15" customHeight="1">
      <c r="A88" s="1" t="n"/>
      <c r="B88" s="102" t="inlineStr">
        <is>
          <t xml:space="preserve">      corLinha = COR_C_LINHA; corBadge = COR_C_BADGE; countC++;</t>
        </is>
      </c>
      <c r="C88" s="1" t="n"/>
      <c r="D88" s="1" t="n"/>
    </row>
    <row r="89" ht="15" customHeight="1">
      <c r="A89" s="1" t="n"/>
      <c r="B89" s="102" t="inlineStr">
        <is>
          <t xml:space="preserve">    }</t>
        </is>
      </c>
      <c r="C89" s="1" t="n"/>
      <c r="D89" s="1" t="n"/>
    </row>
    <row r="90" ht="15" customHeight="1">
      <c r="A90" s="1" t="n"/>
      <c r="B90" s="102" t="inlineStr">
        <is>
          <t> </t>
        </is>
      </c>
      <c r="C90" s="1" t="n"/>
      <c r="D90" s="1" t="n"/>
    </row>
    <row r="91" ht="15" customHeight="1">
      <c r="A91" s="1" t="n"/>
      <c r="B91" s="100" t="inlineStr">
        <is>
          <t xml:space="preserve">    // 🥁 Pinta a linha toda</t>
        </is>
      </c>
      <c r="C91" s="1" t="n"/>
      <c r="D91" s="1" t="n"/>
    </row>
    <row r="92" ht="15" customHeight="1">
      <c r="A92" s="1" t="n"/>
      <c r="B92" s="102" t="inlineStr">
        <is>
          <t xml:space="preserve">    rowRange.getFormat().getFill().setColor(corLinha);</t>
        </is>
      </c>
      <c r="C92" s="1" t="n"/>
      <c r="D92" s="1" t="n"/>
    </row>
    <row r="93" ht="15" customHeight="1">
      <c r="A93" s="1" t="n"/>
      <c r="B93" s="102" t="inlineStr">
        <is>
          <t xml:space="preserve">    rowRange.getFormat().getFont().setColor(PRETO);</t>
        </is>
      </c>
      <c r="C93" s="1" t="n"/>
      <c r="D93" s="1" t="n"/>
    </row>
    <row r="94" ht="15" customHeight="1">
      <c r="A94" s="1" t="n"/>
      <c r="B94" s="102" t="inlineStr">
        <is>
          <t> </t>
        </is>
      </c>
      <c r="C94" s="1" t="n"/>
      <c r="D94" s="1" t="n"/>
    </row>
    <row r="95" ht="15" customHeight="1">
      <c r="A95" s="1" t="n"/>
      <c r="B95" s="100" t="inlineStr">
        <is>
          <t xml:space="preserve">    // 🦁 Destaca o badge ABC com cor sólida e negrito</t>
        </is>
      </c>
      <c r="C95" s="1" t="n"/>
      <c r="D95" s="1" t="n"/>
    </row>
    <row r="96" ht="15" customHeight="1">
      <c r="A96" s="1" t="n"/>
      <c r="B96" s="102" t="inlineStr">
        <is>
          <t xml:space="preserve">    cellABC.getFormat().getFill().setColor(corBadge);</t>
        </is>
      </c>
      <c r="C96" s="1" t="n"/>
      <c r="D96" s="1" t="n"/>
    </row>
    <row r="97" ht="15" customHeight="1">
      <c r="A97" s="1" t="n"/>
      <c r="B97" s="102" t="inlineStr">
        <is>
          <t xml:space="preserve">    cellABC.getFormat().getFont().setColor(BRANCO);</t>
        </is>
      </c>
      <c r="C97" s="1" t="n"/>
      <c r="D97" s="1" t="n"/>
    </row>
    <row r="98" ht="15" customHeight="1">
      <c r="A98" s="1" t="n"/>
      <c r="B98" s="102" t="inlineStr">
        <is>
          <t xml:space="preserve">    cellABC.getFormat().getFont().setBold(true);</t>
        </is>
      </c>
      <c r="C98" s="1" t="n"/>
      <c r="D98" s="1" t="n"/>
    </row>
    <row r="99" ht="15" customHeight="1">
      <c r="A99" s="1" t="n"/>
      <c r="B99" s="102" t="inlineStr">
        <is>
          <t xml:space="preserve">    cellABC.getFormat().getFont().setSize(12);</t>
        </is>
      </c>
      <c r="C99" s="1" t="n"/>
      <c r="D99" s="1" t="n"/>
    </row>
    <row r="100" ht="15" customHeight="1">
      <c r="A100" s="1" t="n"/>
      <c r="B100" s="102" t="inlineStr">
        <is>
          <t xml:space="preserve">    cellABC.getFormat().setHorizontalAlignment(ExcelScript.HorizontalAlignment.center);</t>
        </is>
      </c>
      <c r="C100" s="1" t="n"/>
      <c r="D100" s="1" t="n"/>
    </row>
    <row r="101" ht="15" customHeight="1">
      <c r="A101" s="1" t="n"/>
      <c r="B101" s="102" t="inlineStr">
        <is>
          <t xml:space="preserve">  }</t>
        </is>
      </c>
      <c r="C101" s="1" t="n"/>
      <c r="D101" s="1" t="n"/>
    </row>
    <row r="102" ht="15" customHeight="1">
      <c r="A102" s="1" t="n"/>
      <c r="B102" s="102" t="inlineStr">
        <is>
          <t> </t>
        </is>
      </c>
      <c r="C102" s="1" t="n"/>
      <c r="D102" s="1" t="n"/>
    </row>
    <row r="103" ht="15" customHeight="1">
      <c r="A103" s="1" t="n"/>
      <c r="B103" s="100" t="inlineStr">
        <is>
          <t xml:space="preserve">  // 🇯🇲 Relatório final — One Love!</t>
        </is>
      </c>
      <c r="C103" s="1" t="n"/>
      <c r="D103" s="1" t="n"/>
    </row>
    <row r="104" ht="15" customHeight="1">
      <c r="A104" s="1" t="n"/>
      <c r="B104" s="101" t="inlineStr">
        <is>
          <t xml:space="preserve">  const total = countA + countB + countC;</t>
        </is>
      </c>
      <c r="C104" s="1" t="n"/>
      <c r="D104" s="1" t="n"/>
    </row>
    <row r="105" ht="15" customHeight="1">
      <c r="A105" s="1" t="n"/>
      <c r="B105" s="103" t="inlineStr">
        <is>
          <t xml:space="preserve">  console.log("\n╔══════════════════════════════════════════╗");</t>
        </is>
      </c>
      <c r="C105" s="1" t="n"/>
      <c r="D105" s="1" t="n"/>
    </row>
    <row r="106" ht="15" customHeight="1">
      <c r="A106" s="1" t="n"/>
      <c r="B106" s="103" t="inlineStr">
        <is>
          <t xml:space="preserve">  console.log("║   🇯🇲 ONE LOVE, ONE EXCEL! 🇯🇲           ║");</t>
        </is>
      </c>
      <c r="C106" s="1" t="n"/>
      <c r="D106" s="1" t="n"/>
    </row>
    <row r="107" ht="15" customHeight="1">
      <c r="A107" s="1" t="n"/>
      <c r="B107" s="103" t="inlineStr">
        <is>
          <t xml:space="preserve">  console.log("╠══════════════════════════════════════════╣");</t>
        </is>
      </c>
      <c r="C107" s="1" t="n"/>
      <c r="D107" s="1" t="n"/>
    </row>
    <row r="108" ht="15" customHeight="1">
      <c r="A108" s="1" t="n"/>
      <c r="B108" s="103" t="inlineStr">
        <is>
          <t xml:space="preserve">  console.log(`║  🟢 Classe A: ${String(countA).padEnd(3)} itens — campeões de valor  ║`);</t>
        </is>
      </c>
      <c r="C108" s="1" t="n"/>
      <c r="D108" s="1" t="n"/>
    </row>
    <row r="109" ht="15" customHeight="1">
      <c r="A109" s="1" t="n"/>
      <c r="B109" s="103" t="inlineStr">
        <is>
          <t xml:space="preserve">  console.log(`║  🟡 Classe B: ${String(countB).padEnd(3)} itens — médios necessários ║`);</t>
        </is>
      </c>
      <c r="C109" s="1" t="n"/>
      <c r="D109" s="1" t="n"/>
    </row>
    <row r="110" ht="15" customHeight="1">
      <c r="A110" s="1" t="n"/>
      <c r="B110" s="103" t="inlineStr">
        <is>
          <t xml:space="preserve">  console.log(`║  🔴 Classe C: ${String(countC).padEnd(3)} itens — a longa cauda      ║`);</t>
        </is>
      </c>
      <c r="C110" s="1" t="n"/>
      <c r="D110" s="1" t="n"/>
    </row>
    <row r="111" ht="15" customHeight="1">
      <c r="A111" s="1" t="n"/>
      <c r="B111" s="101" t="inlineStr">
        <is>
          <t xml:space="preserve">  console.log(`║  📊 Total   : ${String(total).padEnd(3)} itens classificados       ║`);</t>
        </is>
      </c>
      <c r="C111" s="1" t="n"/>
      <c r="D111" s="1" t="n"/>
    </row>
    <row r="112" ht="15" customHeight="1">
      <c r="A112" s="1" t="n"/>
      <c r="B112" s="103" t="inlineStr">
        <is>
          <t xml:space="preserve">  console.log("╚══════════════════════════════════════════╝");</t>
        </is>
      </c>
      <c r="C112" s="1" t="n"/>
      <c r="D112" s="1" t="n"/>
    </row>
    <row r="113" ht="15" customHeight="1">
      <c r="A113" s="1" t="n"/>
      <c r="B113" s="103" t="inlineStr">
        <is>
          <t xml:space="preserve">  console.log("✅ Curva ABC colorida com reggae! Jah bless your data! 🌿");</t>
        </is>
      </c>
      <c r="C113" s="1" t="n"/>
      <c r="D113" s="1" t="n"/>
    </row>
    <row r="114" ht="15" customHeight="1">
      <c r="A114" s="1" t="n"/>
      <c r="B114" s="102" t="inlineStr">
        <is>
          <t>}</t>
        </is>
      </c>
      <c r="C114" s="1" t="n"/>
      <c r="D114" s="1" t="n"/>
    </row>
    <row r="115" ht="15" customHeight="1">
      <c r="A115" s="1" t="n"/>
      <c r="B115" s="102" t="inlineStr">
        <is>
          <t> </t>
        </is>
      </c>
      <c r="C115" s="1" t="n"/>
      <c r="D115" s="1" t="n"/>
    </row>
    <row r="116" ht="16" customHeight="1">
      <c r="A116" s="1" t="n"/>
      <c r="B116" s="1" t="n"/>
      <c r="C116" s="1" t="n"/>
      <c r="D116" s="1" t="n"/>
    </row>
    <row r="117" ht="10" customHeight="1">
      <c r="A117" s="1" t="n"/>
      <c r="B117" s="1" t="n"/>
      <c r="C117" s="1" t="n"/>
      <c r="D117" s="1" t="n"/>
    </row>
    <row r="118" ht="18" customHeight="1">
      <c r="A118" s="1" t="n"/>
      <c r="B118" s="104" t="inlineStr">
        <is>
          <t>🇯🇲  Jah bless your automation! One Love, One Excel!  🌿</t>
        </is>
      </c>
      <c r="C118" s="1" t="n"/>
      <c r="D118" s="1" t="n"/>
    </row>
    <row r="119" ht="16" customHeight="1">
      <c r="A119" s="1" t="n"/>
      <c r="B119" s="1" t="n"/>
      <c r="C119" s="1" t="n"/>
      <c r="D119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🇯🇲 Curva ABC Reggae</dc:creator>
  <dc:title>Curva ABC Reggae — One Love, One Excel!</dc:title>
  <dc:subject>Dashboard ABC — Reggae Colors — Office Scripts</dc:subject>
  <dcterms:created xsi:type="dcterms:W3CDTF">2026-05-14T08:35:47Z</dcterms:created>
  <dcterms:modified xsi:type="dcterms:W3CDTF">2026-05-14T08:35:47Z</dcterms:modified>
</cp:coreProperties>
</file>