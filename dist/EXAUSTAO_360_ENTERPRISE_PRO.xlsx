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GISTRO" sheetId="2" state="visible" r:id="rId2"/>
    <sheet name="BASE" sheetId="3" state="visible" r:id="rId3"/>
    <sheet name="ANALISE" sheetId="4" state="visible" r:id="rId4"/>
    <sheet name="SIMULADOR" sheetId="5" state="visible" r:id="rId5"/>
    <sheet name="MODELO_COMERCIAL" sheetId="6" state="visible" r:id="rId6"/>
    <sheet name="CONFIG" sheetId="7" state="visible" r:id="rId7"/>
    <sheet name="LOG" sheetId="8" state="veryHidden" r:id="rId8"/>
  </sheets>
  <definedNames>
    <definedName name="K_HORAS_PERIODO">24*120</definedName>
    <definedName name="K_META_DISPONIBILIDADE">INDEX(tbParametros[Valor],MATCH("MetaDisponibilidade",tbParametros[Parametro],0))</definedName>
    <definedName name="K_META_MTBF">INDEX(tbParametros[Valor],MATCH("MetaMTBF",tbParametros[Parametro],0))</definedName>
    <definedName name="K_META_MTTR">INDEX(tbParametros[Valor],MATCH("MetaMTTR",tbParametros[Parametro],0))</definedName>
    <definedName name="K_CUSTO_HORA">INDEX(tbParametros[Valor],MATCH("CustoHoraParada",tbParametros[Parametro],0))</definedName>
    <definedName name="K_PCT_REDUCAO">INDEX(tbParametros[Valor],MATCH("PercentualReducaoEsperada",tbParametros[Parametro],0))</definedName>
    <definedName name="K_CUSTO_SOLUCAO">INDEX(tbParametros[Valor],MATCH("CustoSolucaoPro",tbParametros[Parametro],0))</definedName>
    <definedName name="K_LIMIAR_CUSTO">500000</definedName>
    <definedName name="ECONOMIA_ANUAL">SUMPRODUCT(tbEventos[CustoEstimado])*K_PCT_REDUCAO*3</definedName>
    <definedName name="ROI_ESTIMADO">(SUMPRODUCT(tbEventos[CustoEstimado])*K_PCT_REDUCAO*3-K_CUSTO_SOLUCAO)/MAX(K_CUSTO_SOLUCAO,1)</definedName>
    <definedName name="VALOR_PROTEGIDO">SUMPRODUCT(tbEventos[CustoEstimado])*0.5</definedName>
    <definedName name="SEMAFORO">IF(SUMPRODUCT(tbEventos[CustoEstimado])&gt;K_LIMIAR_CUSTO,"VERMELHO",IF(SUMPRODUCT(tbEventos[CustoEstimado])&gt;K_LIMIAR_CUSTO/2,"AMARELO","VERDE"))</definedName>
    <definedName name="INPUT_CustoHoraParada">SIMULADOR!$C$5</definedName>
    <definedName name="INPUT_HorasParadas">SIMULADOR!$C$6</definedName>
    <definedName name="INPUT_CustoFalha">SIMULADOR!$C$7</definedName>
    <definedName name="INPUT_NumFalhas">SIMULADOR!$C$8</definedName>
    <definedName name="INPUT_PerdaAnual">SIMULADOR!$C$9</definedName>
    <definedName name="INPUT_Investimento">SIMULADOR!$C$10</definedName>
    <definedName name="INPUT_Desconto">SIMULADOR!$C$11</definedName>
    <definedName name="INPUT_Horizonte">SIMULADOR!$C$12</definedName>
    <definedName name="_xlnm.Print_Area" localSheetId="0">'DASHBOARD'!$A$1:$M$65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R$ #,##0.00;[Red]-R$ #,##0.00"/>
    <numFmt numFmtId="165" formatCode="0.0%"/>
    <numFmt numFmtId="166" formatCode="yyyy-mm-dd"/>
    <numFmt numFmtId="167" formatCode="dd/mm/yyyy"/>
    <numFmt numFmtId="168" formatCode="hh:mm"/>
    <numFmt numFmtId="169" formatCode="#,##0.0&quot; h&quot;"/>
    <numFmt numFmtId="170" formatCode="&quot;R$ &quot;#,##0.00,,&quot; mi&quot;"/>
    <numFmt numFmtId="171" formatCode="yyyy-mm-dd h:mm:ss"/>
    <numFmt numFmtId="172" formatCode="0.00&quot; anos&quot;"/>
  </numFmts>
  <fonts count="17">
    <font>
      <name val="Calibri"/>
      <family val="2"/>
      <color theme="1"/>
      <sz val="11"/>
      <scheme val="minor"/>
    </font>
    <font>
      <name val="Calibri"/>
      <b val="1"/>
      <color rgb="FFFFFFFF"/>
      <sz val="20"/>
    </font>
    <font>
      <name val="Calibri"/>
      <i val="1"/>
      <color rgb="FFFFFFFF"/>
      <sz val="11"/>
    </font>
    <font>
      <name val="Calibri"/>
      <b val="1"/>
      <color rgb="FF0B3C5D"/>
      <sz val="12"/>
    </font>
    <font>
      <name val="Calibri"/>
      <b val="1"/>
      <color rgb="FF2D2D2D"/>
      <sz val="9"/>
    </font>
    <font>
      <name val="Calibri"/>
      <b val="1"/>
      <color rgb="FF0B3C5D"/>
      <sz val="18"/>
    </font>
    <font>
      <name val="Calibri"/>
      <b val="1"/>
      <color rgb="FFC62828"/>
      <sz val="18"/>
    </font>
    <font>
      <name val="Calibri"/>
      <b val="1"/>
      <color rgb="FF2E7D32"/>
      <sz val="18"/>
    </font>
    <font>
      <name val="Calibri"/>
      <b val="1"/>
      <color rgb="FFFFFFFF"/>
      <sz val="10"/>
    </font>
    <font>
      <name val="Calibri"/>
      <color rgb="FF2D2D2D"/>
      <sz val="10"/>
    </font>
    <font>
      <name val="Calibri"/>
      <color rgb="FF2D2D2D"/>
      <sz val="11"/>
    </font>
    <font>
      <name val="Calibri"/>
      <b val="1"/>
      <color rgb="FF0B3C5D"/>
      <sz val="10"/>
    </font>
    <font>
      <name val="Calibri"/>
      <i val="1"/>
      <color rgb="FF6B6B6B"/>
      <sz val="9"/>
    </font>
    <font>
      <name val="Calibri"/>
      <i val="1"/>
      <color rgb="FF6B6B6B"/>
      <sz val="11"/>
    </font>
    <font>
      <name val="Calibri"/>
      <b val="1"/>
      <color rgb="FFFFFFFF"/>
      <sz val="11"/>
    </font>
    <font>
      <name val="Calibri"/>
      <b val="1"/>
      <color rgb="FF0B3C5D"/>
      <sz val="11"/>
    </font>
    <font>
      <name val="Calibri"/>
      <i val="1"/>
      <color rgb="FF2D2D2D"/>
      <sz val="11"/>
    </font>
  </fonts>
  <fills count="12">
    <fill>
      <patternFill/>
    </fill>
    <fill>
      <patternFill patternType="gray125"/>
    </fill>
    <fill>
      <patternFill patternType="solid">
        <fgColor rgb="FF0B3C5D"/>
        <bgColor rgb="FF0B3C5D"/>
      </patternFill>
    </fill>
    <fill>
      <patternFill patternType="solid">
        <fgColor rgb="FF1F4E5F"/>
        <bgColor rgb="FF1F4E5F"/>
      </patternFill>
    </fill>
    <fill>
      <patternFill patternType="solid">
        <fgColor rgb="FFE6ECEF"/>
        <bgColor rgb="FFE6ECE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8E1"/>
        <bgColor rgb="FFFFF8E1"/>
      </patternFill>
    </fill>
    <fill>
      <patternFill patternType="solid">
        <fgColor rgb="FF1976D2"/>
        <bgColor rgb="FF1976D2"/>
      </patternFill>
    </fill>
    <fill>
      <patternFill patternType="solid">
        <fgColor rgb="FF2E7D32"/>
        <bgColor rgb="FF2E7D32"/>
      </patternFill>
    </fill>
    <fill>
      <patternFill patternType="solid">
        <fgColor rgb="FFED9F00"/>
        <bgColor rgb="FFED9F00"/>
      </patternFill>
    </fill>
    <fill>
      <patternFill patternType="solid">
        <fgColor rgb="FFE6F0FA"/>
        <bgColor rgb="FFE6F0FA"/>
      </patternFill>
    </fill>
  </fills>
  <borders count="8">
    <border>
      <left/>
      <right/>
      <top/>
      <bottom/>
      <diagonal/>
    </border>
    <border/>
    <border>
      <bottom style="medium">
        <color rgb="FF0B3C5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3">
    <xf numFmtId="0" fontId="0" fillId="0" borderId="0"/>
    <xf numFmtId="0" fontId="1" fillId="2" borderId="1" applyAlignment="1">
      <alignment horizontal="left" vertical="center" indent="2"/>
    </xf>
    <xf numFmtId="0" fontId="2" fillId="3" borderId="1" applyAlignment="1">
      <alignment horizontal="left" vertical="center" indent="2"/>
    </xf>
    <xf numFmtId="0" fontId="3" fillId="4" borderId="2" applyAlignment="1">
      <alignment horizontal="left" vertical="center" indent="1"/>
    </xf>
    <xf numFmtId="0" fontId="4" fillId="5" borderId="3" applyAlignment="1">
      <alignment horizontal="center" vertical="center"/>
    </xf>
    <xf numFmtId="0" fontId="5" fillId="6" borderId="3" applyAlignment="1">
      <alignment horizontal="center" vertical="center" wrapText="1"/>
    </xf>
    <xf numFmtId="0" fontId="6" fillId="6" borderId="3" applyAlignment="1">
      <alignment horizontal="center" vertical="center" wrapText="1"/>
    </xf>
    <xf numFmtId="0" fontId="7" fillId="6" borderId="3" applyAlignment="1">
      <alignment horizontal="center" vertical="center" wrapText="1"/>
    </xf>
    <xf numFmtId="0" fontId="8" fillId="2" borderId="3" applyAlignment="1">
      <alignment horizontal="center" vertical="center" wrapText="1"/>
    </xf>
    <xf numFmtId="0" fontId="9" fillId="6" borderId="3" applyAlignment="1">
      <alignment horizontal="left" vertical="center" wrapText="1" indent="1"/>
    </xf>
    <xf numFmtId="0" fontId="10" fillId="7" borderId="3" applyAlignment="1">
      <alignment horizontal="left" vertical="center" wrapText="1" indent="1"/>
    </xf>
    <xf numFmtId="0" fontId="11" fillId="5" borderId="3" applyAlignment="1">
      <alignment horizontal="right" vertical="center" indent="1"/>
    </xf>
    <xf numFmtId="0" fontId="12" fillId="0" borderId="1" applyAlignment="1">
      <alignment horizontal="left" vertical="center" wrapText="1" indent="1"/>
    </xf>
  </cellStyleXfs>
  <cellXfs count="74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3" borderId="1" applyAlignment="1" pivotButton="0" quotePrefix="0" xfId="2">
      <alignment horizontal="left" vertical="center" indent="2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3" fillId="4" borderId="2" applyAlignment="1" pivotButton="0" quotePrefix="0" xfId="3">
      <alignment horizontal="left" vertical="center" indent="1"/>
    </xf>
    <xf numFmtId="0" fontId="4" fillId="5" borderId="3" applyAlignment="1" pivotButton="0" quotePrefix="0" xfId="4">
      <alignment horizontal="center" vertical="center"/>
    </xf>
    <xf numFmtId="165" fontId="7" fillId="6" borderId="3" applyAlignment="1" pivotButton="0" quotePrefix="0" xfId="7">
      <alignment horizontal="center" vertical="center" wrapText="1"/>
    </xf>
    <xf numFmtId="169" fontId="5" fillId="6" borderId="3" applyAlignment="1" pivotButton="0" quotePrefix="0" xfId="5">
      <alignment horizontal="center" vertical="center" wrapText="1"/>
    </xf>
    <xf numFmtId="3" fontId="5" fillId="6" borderId="3" applyAlignment="1" pivotButton="0" quotePrefix="0" xfId="5">
      <alignment horizontal="center" vertical="center" wrapText="1"/>
    </xf>
    <xf numFmtId="164" fontId="6" fillId="6" borderId="3" applyAlignment="1" pivotButton="0" quotePrefix="0" xfId="6">
      <alignment horizontal="center" vertical="center" wrapText="1"/>
    </xf>
    <xf numFmtId="170" fontId="6" fillId="6" borderId="3" applyAlignment="1" pivotButton="0" quotePrefix="0" xfId="6">
      <alignment horizontal="center" vertical="center" wrapText="1"/>
    </xf>
    <xf numFmtId="0" fontId="6" fillId="6" borderId="3" applyAlignment="1" pivotButton="0" quotePrefix="0" xfId="6">
      <alignment horizontal="center" vertical="center" wrapText="1"/>
    </xf>
    <xf numFmtId="3" fontId="6" fillId="6" borderId="3" applyAlignment="1" pivotButton="0" quotePrefix="0" xfId="6">
      <alignment horizontal="center" vertical="center" wrapText="1"/>
    </xf>
    <xf numFmtId="170" fontId="7" fillId="6" borderId="3" applyAlignment="1" pivotButton="0" quotePrefix="0" xfId="7">
      <alignment horizontal="center" vertical="center" wrapText="1"/>
    </xf>
    <xf numFmtId="0" fontId="5" fillId="6" borderId="3" applyAlignment="1" pivotButton="0" quotePrefix="0" xfId="5">
      <alignment horizontal="center" vertical="center" wrapText="1"/>
    </xf>
    <xf numFmtId="0" fontId="8" fillId="2" borderId="3" applyAlignment="1" pivotButton="0" quotePrefix="0" xfId="8">
      <alignment horizontal="center" vertical="center" wrapText="1"/>
    </xf>
    <xf numFmtId="0" fontId="9" fillId="6" borderId="3" applyAlignment="1" pivotButton="0" quotePrefix="0" xfId="9">
      <alignment horizontal="left" vertical="center" wrapText="1" indent="1"/>
    </xf>
    <xf numFmtId="3" fontId="9" fillId="6" borderId="3" applyAlignment="1" pivotButton="0" quotePrefix="0" xfId="9">
      <alignment horizontal="left" vertical="center" wrapText="1" indent="1"/>
    </xf>
    <xf numFmtId="164" fontId="9" fillId="6" borderId="3" applyAlignment="1" pivotButton="0" quotePrefix="0" xfId="9">
      <alignment horizontal="left" vertical="center" wrapText="1" indent="1"/>
    </xf>
    <xf numFmtId="165" fontId="9" fillId="6" borderId="3" applyAlignment="1" pivotButton="0" quotePrefix="0" xfId="9">
      <alignment horizontal="left" vertical="center" wrapText="1" indent="1"/>
    </xf>
    <xf numFmtId="0" fontId="9" fillId="6" borderId="3" applyAlignment="1" pivotButton="0" quotePrefix="0" xfId="9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9" fontId="9" fillId="6" borderId="3" applyAlignment="1" pivotButton="0" quotePrefix="0" xfId="9">
      <alignment horizontal="left" vertical="center" wrapText="1" indent="1"/>
    </xf>
    <xf numFmtId="0" fontId="9" fillId="6" borderId="3" applyAlignment="1" pivotButton="0" quotePrefix="0" xfId="0">
      <alignment horizontal="left" vertical="center" wrapText="1" indent="1"/>
    </xf>
    <xf numFmtId="0" fontId="11" fillId="5" borderId="3" applyAlignment="1" pivotButton="0" quotePrefix="0" xfId="11">
      <alignment horizontal="right" vertical="center" indent="1"/>
    </xf>
    <xf numFmtId="167" fontId="10" fillId="7" borderId="3" applyAlignment="1" pivotButton="0" quotePrefix="0" xfId="10">
      <alignment horizontal="left" vertical="center" wrapText="1" indent="1"/>
    </xf>
    <xf numFmtId="0" fontId="10" fillId="7" borderId="3" applyAlignment="1" pivotButton="0" quotePrefix="0" xfId="10">
      <alignment horizontal="left" vertical="center" wrapText="1" indent="1"/>
    </xf>
    <xf numFmtId="168" fontId="10" fillId="7" borderId="3" applyAlignment="1" pivotButton="0" quotePrefix="0" xfId="10">
      <alignment horizontal="left" vertical="center" wrapText="1" indent="1"/>
    </xf>
    <xf numFmtId="169" fontId="10" fillId="7" borderId="3" applyAlignment="1" pivotButton="0" quotePrefix="0" xfId="10">
      <alignment horizontal="left" vertical="center" wrapText="1" indent="1"/>
    </xf>
    <xf numFmtId="164" fontId="10" fillId="7" borderId="3" applyAlignment="1" pivotButton="0" quotePrefix="0" xfId="10">
      <alignment horizontal="left" vertical="center" wrapText="1" indent="1"/>
    </xf>
    <xf numFmtId="0" fontId="10" fillId="7" borderId="3" applyAlignment="1" pivotButton="0" quotePrefix="0" xfId="10">
      <alignment horizontal="left" vertical="top" wrapText="1" indent="1"/>
    </xf>
    <xf numFmtId="0" fontId="13" fillId="5" borderId="0" applyAlignment="1" pivotButton="0" quotePrefix="0" xfId="0">
      <alignment horizontal="left" vertical="center" wrapText="1" indent="2"/>
    </xf>
    <xf numFmtId="0" fontId="14" fillId="8" borderId="3" applyAlignment="1" pivotButton="0" quotePrefix="0" xfId="0">
      <alignment horizontal="center" vertical="center"/>
    </xf>
    <xf numFmtId="0" fontId="14" fillId="9" borderId="3" applyAlignment="1" pivotButton="0" quotePrefix="0" xfId="0">
      <alignment horizontal="center" vertical="center"/>
    </xf>
    <xf numFmtId="0" fontId="14" fillId="10" borderId="3" applyAlignment="1" pivotButton="0" quotePrefix="0" xfId="0">
      <alignment horizontal="center" vertical="center"/>
    </xf>
    <xf numFmtId="0" fontId="12" fillId="0" borderId="1" applyAlignment="1" pivotButton="0" quotePrefix="0" xfId="12">
      <alignment horizontal="left" vertical="center" wrapText="1" indent="1"/>
    </xf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4" fontId="0" fillId="0" borderId="0" pivotButton="0" quotePrefix="0" xfId="0"/>
    <xf numFmtId="0" fontId="8" fillId="11" borderId="3" applyAlignment="1" pivotButton="0" quotePrefix="0" xfId="8">
      <alignment horizontal="center" vertical="center" wrapText="1"/>
    </xf>
    <xf numFmtId="164" fontId="9" fillId="6" borderId="3" applyAlignment="1" pivotButton="0" quotePrefix="0" xfId="9">
      <alignment horizontal="center" vertical="center" wrapText="1"/>
    </xf>
    <xf numFmtId="3" fontId="10" fillId="7" borderId="3" applyAlignment="1" pivotButton="0" quotePrefix="0" xfId="10">
      <alignment horizontal="left" vertical="center" wrapText="1" indent="1"/>
    </xf>
    <xf numFmtId="165" fontId="10" fillId="7" borderId="3" applyAlignment="1" pivotButton="0" quotePrefix="0" xfId="10">
      <alignment horizontal="left" vertical="center" wrapText="1" indent="1"/>
    </xf>
    <xf numFmtId="165" fontId="10" fillId="11" borderId="3" applyAlignment="1" pivotButton="0" quotePrefix="0" xfId="10">
      <alignment horizontal="left" vertical="center" wrapText="1" indent="1"/>
    </xf>
    <xf numFmtId="164" fontId="9" fillId="6" borderId="3" applyAlignment="1" pivotButton="0" quotePrefix="0" xfId="9">
      <alignment horizontal="center" vertical="center"/>
    </xf>
    <xf numFmtId="164" fontId="9" fillId="11" borderId="3" applyAlignment="1" pivotButton="0" quotePrefix="0" xfId="9">
      <alignment horizontal="center" vertical="center"/>
    </xf>
    <xf numFmtId="170" fontId="9" fillId="6" borderId="3" applyAlignment="1" pivotButton="0" quotePrefix="0" xfId="9">
      <alignment horizontal="center" vertical="center" wrapText="1"/>
    </xf>
    <xf numFmtId="170" fontId="9" fillId="6" borderId="3" applyAlignment="1" pivotButton="0" quotePrefix="0" xfId="9">
      <alignment horizontal="center" vertical="center"/>
    </xf>
    <xf numFmtId="170" fontId="9" fillId="11" borderId="3" applyAlignment="1" pivotButton="0" quotePrefix="0" xfId="9">
      <alignment horizontal="center" vertical="center"/>
    </xf>
    <xf numFmtId="172" fontId="9" fillId="6" borderId="3" applyAlignment="1" pivotButton="0" quotePrefix="0" xfId="9">
      <alignment horizontal="center" vertical="center" wrapText="1"/>
    </xf>
    <xf numFmtId="165" fontId="9" fillId="6" borderId="3" applyAlignment="1" pivotButton="0" quotePrefix="0" xfId="9">
      <alignment horizontal="center" vertical="center" wrapText="1"/>
    </xf>
    <xf numFmtId="172" fontId="9" fillId="6" borderId="3" applyAlignment="1" pivotButton="0" quotePrefix="0" xfId="9">
      <alignment horizontal="center" vertical="center"/>
    </xf>
    <xf numFmtId="172" fontId="9" fillId="11" borderId="3" applyAlignment="1" pivotButton="0" quotePrefix="0" xfId="9">
      <alignment horizontal="center" vertical="center"/>
    </xf>
    <xf numFmtId="0" fontId="9" fillId="6" borderId="3" applyAlignment="1" pivotButton="0" quotePrefix="0" xfId="9">
      <alignment horizontal="center" vertical="center" wrapText="1"/>
    </xf>
    <xf numFmtId="165" fontId="9" fillId="6" borderId="3" applyAlignment="1" pivotButton="0" quotePrefix="0" xfId="9">
      <alignment horizontal="center" vertical="center"/>
    </xf>
    <xf numFmtId="165" fontId="9" fillId="11" borderId="3" applyAlignment="1" pivotButton="0" quotePrefix="0" xfId="9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left" vertical="center" wrapText="1" indent="2"/>
    </xf>
    <xf numFmtId="0" fontId="9" fillId="0" borderId="0" applyAlignment="1" pivotButton="0" quotePrefix="0" xfId="0">
      <alignment horizontal="left" vertical="center" indent="1"/>
    </xf>
    <xf numFmtId="0" fontId="9" fillId="11" borderId="3" applyAlignment="1" pivotButton="0" quotePrefix="0" xfId="9">
      <alignment horizontal="center" vertical="center" wrapText="1"/>
    </xf>
    <xf numFmtId="164" fontId="3" fillId="6" borderId="3" applyAlignment="1" pivotButton="0" quotePrefix="0" xfId="9">
      <alignment horizontal="center" vertical="center" wrapText="1"/>
    </xf>
    <xf numFmtId="164" fontId="3" fillId="11" borderId="3" applyAlignment="1" pivotButton="0" quotePrefix="0" xfId="9">
      <alignment horizontal="center" vertical="center" wrapText="1"/>
    </xf>
    <xf numFmtId="164" fontId="15" fillId="6" borderId="3" applyAlignment="1" pivotButton="0" quotePrefix="0" xfId="9">
      <alignment horizontal="center" vertical="center" wrapText="1"/>
    </xf>
    <xf numFmtId="170" fontId="15" fillId="6" borderId="3" applyAlignment="1" pivotButton="0" quotePrefix="0" xfId="9">
      <alignment horizontal="center" vertical="center" wrapText="1"/>
    </xf>
    <xf numFmtId="1" fontId="10" fillId="7" borderId="3" applyAlignment="1" pivotButton="0" quotePrefix="0" xfId="10">
      <alignment horizontal="left" vertical="center" wrapText="1" indent="1"/>
    </xf>
    <xf numFmtId="172" fontId="15" fillId="6" borderId="3" applyAlignment="1" pivotButton="0" quotePrefix="0" xfId="9">
      <alignment horizontal="center" vertical="center" wrapText="1"/>
    </xf>
    <xf numFmtId="165" fontId="15" fillId="6" borderId="3" applyAlignment="1" pivotButton="0" quotePrefix="0" xfId="9">
      <alignment horizontal="center" vertical="center" wrapText="1"/>
    </xf>
    <xf numFmtId="0" fontId="15" fillId="6" borderId="3" applyAlignment="1" pivotButton="0" quotePrefix="0" xfId="9">
      <alignment horizontal="center" vertical="center" wrapText="1"/>
    </xf>
    <xf numFmtId="0" fontId="16" fillId="5" borderId="3" applyAlignment="1" pivotButton="0" quotePrefix="0" xfId="0">
      <alignment horizontal="left" vertical="center" wrapText="1" indent="2"/>
    </xf>
    <xf numFmtId="165" fontId="0" fillId="0" borderId="0" pivotButton="0" quotePrefix="0" xfId="0"/>
    <xf numFmtId="3" fontId="0" fillId="0" borderId="0" pivotButton="0" quotePrefix="0" xfId="0"/>
  </cellXfs>
  <cellStyles count="13">
    <cellStyle name="Normal" xfId="0" builtinId="0" hidden="0"/>
    <cellStyle name="exa_title" xfId="1" hidden="0"/>
    <cellStyle name="exa_subtitle" xfId="2" hidden="0"/>
    <cellStyle name="exa_section" xfId="3" hidden="0"/>
    <cellStyle name="exa_kpi_label" xfId="4" hidden="0"/>
    <cellStyle name="exa_kpi_value" xfId="5" hidden="0"/>
    <cellStyle name="exa_kpi_value_red" xfId="6" hidden="0"/>
    <cellStyle name="exa_kpi_value_green" xfId="7" hidden="0"/>
    <cellStyle name="exa_th" xfId="8" hidden="0"/>
    <cellStyle name="exa_td" xfId="9" hidden="0"/>
    <cellStyle name="exa_input" xfId="10" hidden="0"/>
    <cellStyle name="exa_label" xfId="11" hidden="0"/>
    <cellStyle name="exa_note" xfId="12" hidden="0"/>
  </cellStyles>
  <dxfs count="4">
    <dxf>
      <font>
        <b val="1"/>
        <color rgb="FFC62828"/>
      </font>
      <fill>
        <patternFill patternType="solid">
          <fgColor rgb="FFFDECEC"/>
          <bgColor rgb="FFFDECEC"/>
        </patternFill>
      </fill>
    </dxf>
    <dxf>
      <font>
        <b val="1"/>
        <color rgb="FFED9F00"/>
      </font>
      <fill>
        <patternFill patternType="solid">
          <fgColor rgb="FFFFF4E1"/>
          <bgColor rgb="FFFFF4E1"/>
        </patternFill>
      </fill>
    </dxf>
    <dxf>
      <font>
        <b val="1"/>
        <color rgb="FFB28704"/>
      </font>
      <fill>
        <patternFill patternType="solid">
          <fgColor rgb="FFFFFAE6"/>
          <bgColor rgb="FFFFFAE6"/>
        </patternFill>
      </fill>
    </dxf>
    <dxf>
      <font>
        <b val="1"/>
        <color rgb="FF2E7D32"/>
      </font>
      <fill>
        <patternFill patternType="solid">
          <fgColor rgb="FFE8F5E9"/>
          <bgColor rgb="FF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Pareto de Falhas - Componentes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'DASHBOARD'!D16</f>
            </strRef>
          </tx>
          <spPr>
            <a:ln>
              <a:prstDash val="solid"/>
            </a:ln>
          </spPr>
          <cat>
            <numRef>
              <f>'DASHBOARD'!$B$17:$B$22</f>
            </numRef>
          </cat>
          <val>
            <numRef>
              <f>'DASHBOARD'!$D$17:$D$22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Componente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Custo Total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Evolucao Mensal - Custo de Falhas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'DASHBOARD'!$B$26:$B$30</f>
            </numRef>
          </cat>
          <val>
            <numRef>
              <f>'DASHBOARD'!$D$26:$D$30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Custo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Distribuicao de Custos por Forno</a:t>
            </a:r>
          </a:p>
        </rich>
      </tx>
    </title>
    <plotArea>
      <pieChart>
        <varyColors val="1"/>
        <ser>
          <idx val="0"/>
          <order val="0"/>
          <tx>
            <strRef>
              <f>'DASHBOARD'!J16</f>
            </strRef>
          </tx>
          <spPr>
            <a:ln>
              <a:prstDash val="solid"/>
            </a:ln>
          </spPr>
          <cat>
            <numRef>
              <f>'DASHBOARD'!$H$17:$H$22</f>
            </numRef>
          </cat>
          <val>
            <numRef>
              <f>'DASHBOARD'!$J$17:$J$22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MTBF vs MTTR por Forno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'ANALISE'!E5</f>
            </strRef>
          </tx>
          <spPr>
            <a:ln>
              <a:prstDash val="solid"/>
            </a:ln>
          </spPr>
          <cat>
            <numRef>
              <f>'ANALISE'!$B$6:$B$11</f>
            </numRef>
          </cat>
          <val>
            <numRef>
              <f>'ANALISE'!$E$6:$E$11</f>
            </numRef>
          </val>
        </ser>
        <ser>
          <idx val="1"/>
          <order val="1"/>
          <tx>
            <strRef>
              <f>'ANALISE'!F5</f>
            </strRef>
          </tx>
          <spPr>
            <a:ln>
              <a:prstDash val="solid"/>
            </a:ln>
          </spPr>
          <cat>
            <numRef>
              <f>'ANALISE'!$B$6:$B$11</f>
            </numRef>
          </cat>
          <val>
            <numRef>
              <f>'ANALISE'!$F$6:$F$11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Economia Anual por 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'SIMULADOR'!E5</f>
            </strRef>
          </tx>
          <spPr>
            <a:ln>
              <a:prstDash val="solid"/>
            </a:ln>
          </spPr>
          <val>
            <numRef>
              <f>'SIMULADOR'!$E$6:$E$7</f>
            </numRef>
          </val>
        </ser>
        <ser>
          <idx val="1"/>
          <order val="1"/>
          <tx>
            <strRef>
              <f>'SIMULADOR'!F5</f>
            </strRef>
          </tx>
          <spPr>
            <a:ln>
              <a:prstDash val="solid"/>
            </a:ln>
          </spPr>
          <val>
            <numRef>
              <f>'SIMULADOR'!$F$6:$F$7</f>
            </numRef>
          </val>
        </ser>
        <ser>
          <idx val="2"/>
          <order val="2"/>
          <tx>
            <strRef>
              <f>'SIMULADOR'!G5</f>
            </strRef>
          </tx>
          <spPr>
            <a:ln>
              <a:prstDash val="solid"/>
            </a:ln>
          </spPr>
          <val>
            <numRef>
              <f>'SIMULADOR'!$G$6:$G$7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32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48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Eventos" displayName="tbEventos" ref="B5:N65" headerRowCount="1">
  <autoFilter ref="B5:N65"/>
  <tableColumns count="13">
    <tableColumn id="2" name="ID"/>
    <tableColumn id="3" name="Data"/>
    <tableColumn id="4" name="Hora"/>
    <tableColumn id="5" name="Operador"/>
    <tableColumn id="6" name="Forno"/>
    <tableColumn id="7" name="TipoEvento"/>
    <tableColumn id="8" name="Categoria"/>
    <tableColumn id="9" name="Componente"/>
    <tableColumn id="10" name="Criticidade"/>
    <tableColumn id="11" name="DuracaoHoras"/>
    <tableColumn id="12" name="CustoEstimado"/>
    <tableColumn id="13" name="Observacao"/>
    <tableColumn id="1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FMEA" displayName="tbFMEA" ref="B15:K22" headerRowCount="1">
  <autoFilter ref="B15:K22"/>
  <tableColumns count="10">
    <tableColumn id="2" name="Forno"/>
    <tableColumn id="3" name="Componente"/>
    <tableColumn id="4" name="ModoFalha"/>
    <tableColumn id="5" name="Efeito"/>
    <tableColumn id="6" name="Controle"/>
    <tableColumn id="7" name="Severidade"/>
    <tableColumn id="8" name="Ocorrencia"/>
    <tableColumn id="9" name="Deteccao"/>
    <tableColumn id="10" name="RPN"/>
    <tableColumn id="11" name="Prioridad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bPlanoAcao" displayName="tbPlanoAcao" ref="B26:J32" headerRowCount="1">
  <autoFilter ref="B26:J32"/>
  <tableColumns count="9">
    <tableColumn id="2" name="ID"/>
    <tableColumn id="3" name="Acao"/>
    <tableColumn id="4" name="Responsavel"/>
    <tableColumn id="5" name="Prazo"/>
    <tableColumn id="6" name="Status"/>
    <tableColumn id="7" name="Prioridade"/>
    <tableColumn id="8" name="ImpactoFinanceiro"/>
    <tableColumn id="9" name="Risco"/>
    <tableColumn id="10" name="ProximaEtapa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Parametros" displayName="tbParametros" ref="B5:D19" headerRowCount="1">
  <autoFilter ref="B5:D19"/>
  <tableColumns count="3">
    <tableColumn id="2" name="Parametro"/>
    <tableColumn id="3" name="Valor"/>
    <tableColumn id="4" name="Descrica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Fornos" displayName="tbFornos" ref="F5:J11" headerRowCount="1">
  <autoFilter ref="F5:J11"/>
  <tableColumns count="5">
    <tableColumn id="6" name="ID"/>
    <tableColumn id="7" name="Nome"/>
    <tableColumn id="8" name="Area"/>
    <tableColumn id="9" name="Capacidade (kg/h)"/>
    <tableColumn id="10" name="Status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6" name="tbTiposEvento" displayName="tbTiposEvento" ref="B22:D29" headerRowCount="1">
  <autoFilter ref="B22:D29"/>
  <tableColumns count="3">
    <tableColumn id="2" name="Tipo"/>
    <tableColumn id="3" name="Categoria"/>
    <tableColumn id="4" name="ImpactoBase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bCategorias" displayName="tbCategorias" ref="F14:G20" headerRowCount="1">
  <autoFilter ref="F14:G20"/>
  <tableColumns count="2">
    <tableColumn id="6" name="Categoria"/>
    <tableColumn id="7" name="Descricao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8" name="tbComponentes" displayName="tbComponentes" ref="B33:E41" headerRowCount="1">
  <autoFilter ref="B33:E41"/>
  <tableColumns count="4">
    <tableColumn id="2" name="ID"/>
    <tableColumn id="3" name="Nome"/>
    <tableColumn id="4" name="Tipo"/>
    <tableColumn id="5" name="VidaUtilMeses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tbOperadores" displayName="tbOperadores" ref="F24:I30" headerRowCount="1">
  <autoFilter ref="F24:I30"/>
  <tableColumns count="4">
    <tableColumn id="6" name="ID"/>
    <tableColumn id="7" name="Nome"/>
    <tableColumn id="8" name="Turno"/>
    <tableColumn id="9" name="Area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tbTurnos" displayName="tbTurnos" ref="B45:D48" headerRowCount="1">
  <autoFilter ref="B45:D48"/>
  <tableColumns count="3">
    <tableColumn id="2" name="Turno"/>
    <tableColumn id="3" name="Inicio"/>
    <tableColumn id="4" name="Fim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id="11" name="tbCriticidades" displayName="tbCriticidades" ref="F34:H38" headerRowCount="1">
  <autoFilter ref="F34:H38"/>
  <tableColumns count="3">
    <tableColumn id="6" name="Nivel"/>
    <tableColumn id="7" name="Pontuacao"/>
    <tableColumn id="8" name="Descrica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RegrasRisco" displayName="tbRegrasRisco" ref="B52:E57" headerRowCount="1">
  <autoFilter ref="B52:E57"/>
  <tableColumns count="4">
    <tableColumn id="2" name="Regra"/>
    <tableColumn id="3" name="Condicao"/>
    <tableColumn id="4" name="NivelRisco"/>
    <tableColumn id="5" name="AcaoRecomendada"/>
  </tableColumns>
  <tableStyleInfo name="TableStyleMedium10" showFirstColumn="0" showLastColumn="0" showRowStripes="1" showColumnStripes="0"/>
</table>
</file>

<file path=xl/tables/table13.xml><?xml version="1.0" encoding="utf-8"?>
<table xmlns="http://schemas.openxmlformats.org/spreadsheetml/2006/main" id="13" name="tbLogEdicao" displayName="tbLogEdicao" ref="A3:F4" headerRowCount="1">
  <autoFilter ref="A3:F4"/>
  <tableColumns count="6">
    <tableColumn id="1" name="DataHora"/>
    <tableColumn id="2" name="Usuario"/>
    <tableColumn id="3" name="Acao"/>
    <tableColumn id="4" name="Aba"/>
    <tableColumn id="5" name="Registro"/>
    <tableColumn id="6" name="Resultado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Relationship Type="http://schemas.openxmlformats.org/officeDocument/2006/relationships/table" Target="/xl/tables/table12.xml" Id="rId9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4" customWidth="1" min="4" max="4"/>
    <col width="18" customWidth="1" min="5" max="5"/>
    <col width="18" customWidth="1" min="6" max="6"/>
    <col width="4" customWidth="1" min="7" max="7"/>
    <col width="18" customWidth="1" min="8" max="8"/>
    <col width="18" customWidth="1" min="9" max="9"/>
    <col width="4" customWidth="1" min="10" max="10"/>
    <col width="18" customWidth="1" min="11" max="11"/>
    <col width="18" customWidth="1" min="12" max="12"/>
    <col width="2" customWidth="1" min="13" max="13"/>
  </cols>
  <sheetData>
    <row r="1" ht="38" customHeight="1">
      <c r="A1" s="1" t="inlineStr">
        <is>
          <t>EXAUSTAO 360 - PAINEL EXECUTIVO DE CONFIABILIDADE</t>
        </is>
      </c>
    </row>
    <row r="2" ht="22" customHeight="1">
      <c r="A2" s="2" t="inlineStr">
        <is>
          <t>Atualize com o botao [Atualizar Dashboard]. Periodo, plantas e parametros sao definidos em CONFIG.</t>
        </is>
      </c>
    </row>
    <row r="3" ht="22" customHeight="1">
      <c r="B3" s="3" t="inlineStr">
        <is>
          <t>Periodo:</t>
        </is>
      </c>
      <c r="H3" s="4" t="inlineStr">
        <is>
          <t>Ultima atualizacao:</t>
        </is>
      </c>
    </row>
    <row r="5" ht="26" customHeight="1">
      <c r="B5" s="5" t="inlineStr">
        <is>
          <t>Indicadores Executivos (KPIs)</t>
        </is>
      </c>
    </row>
    <row r="6" ht="22" customHeight="1">
      <c r="B6" s="6" t="inlineStr">
        <is>
          <t>Disponibilidade</t>
        </is>
      </c>
      <c r="E6" s="6" t="inlineStr">
        <is>
          <t>MTBF (horas)</t>
        </is>
      </c>
      <c r="H6" s="6" t="inlineStr">
        <is>
          <t>MTTR (horas)</t>
        </is>
      </c>
      <c r="K6" s="6" t="inlineStr">
        <is>
          <t>Eventos no Periodo</t>
        </is>
      </c>
    </row>
    <row r="7" ht="42" customHeight="1">
      <c r="B7" s="7">
        <f>IFERROR(1-SUMPRODUCT(tbEventos[DuracaoHoras])/(K_HORAS_PERIODO),0)</f>
        <v/>
      </c>
      <c r="E7" s="8">
        <f>IFERROR(K_HORAS_PERIODO/MAX(COUNTA(tbEventos[ID]),1),0)</f>
        <v/>
      </c>
      <c r="H7" s="8">
        <f>IFERROR(AVERAGE(tbEventos[DuracaoHoras]),0)</f>
        <v/>
      </c>
      <c r="K7" s="9">
        <f>COUNTA(tbEventos[ID])</f>
        <v/>
      </c>
    </row>
    <row r="8" ht="6" customHeight="1"/>
    <row r="9" ht="22" customHeight="1">
      <c r="B9" s="6" t="inlineStr">
        <is>
          <t>Custo Total Falhas</t>
        </is>
      </c>
      <c r="E9" s="6" t="inlineStr">
        <is>
          <t>Custo em Milhoes</t>
        </is>
      </c>
      <c r="H9" s="6" t="inlineStr">
        <is>
          <t>Forno Critico</t>
        </is>
      </c>
      <c r="K9" s="6" t="inlineStr">
        <is>
          <t>Eventos Criticos</t>
        </is>
      </c>
    </row>
    <row r="10" ht="42" customHeight="1">
      <c r="B10" s="10">
        <f>SUMPRODUCT(tbEventos[CustoEstimado])</f>
        <v/>
      </c>
      <c r="E10" s="11">
        <f>SUMPRODUCT(tbEventos[CustoEstimado])</f>
        <v/>
      </c>
      <c r="H10" s="12">
        <f>IFERROR(INDEX(tbEventos[Forno],MATCH(MAX(tbEventos[CustoEstimado]),tbEventos[CustoEstimado],0)),"-")</f>
        <v/>
      </c>
      <c r="K10" s="13">
        <f>COUNTIF(tbEventos[Criticidade],"Critica")</f>
        <v/>
      </c>
    </row>
    <row r="11" ht="6" customHeight="1"/>
    <row r="12" ht="22" customHeight="1">
      <c r="B12" s="6" t="inlineStr">
        <is>
          <t>Economia Potencial Anual</t>
        </is>
      </c>
      <c r="E12" s="6" t="inlineStr">
        <is>
          <t>ROI Estimado</t>
        </is>
      </c>
      <c r="H12" s="6" t="inlineStr">
        <is>
          <t>Valor Protegido</t>
        </is>
      </c>
      <c r="K12" s="6" t="inlineStr">
        <is>
          <t>Semaforo Operacional</t>
        </is>
      </c>
    </row>
    <row r="13" ht="42" customHeight="1">
      <c r="B13" s="14">
        <f>ECONOMIA_ANUAL</f>
        <v/>
      </c>
      <c r="E13" s="7">
        <f>ROI_ESTIMADO</f>
        <v/>
      </c>
      <c r="H13" s="14">
        <f>VALOR_PROTEGIDO</f>
        <v/>
      </c>
      <c r="K13" s="15">
        <f>SEMAFORO</f>
        <v/>
      </c>
    </row>
    <row r="15" ht="26" customHeight="1">
      <c r="B15" s="5" t="inlineStr">
        <is>
          <t>Pareto de Falhas por Componente</t>
        </is>
      </c>
      <c r="H15" s="5" t="inlineStr">
        <is>
          <t>Ranking de Fornos por Risco</t>
        </is>
      </c>
    </row>
    <row r="16" ht="22" customHeight="1">
      <c r="B16" s="16" t="inlineStr">
        <is>
          <t>Componente</t>
        </is>
      </c>
      <c r="C16" s="16" t="inlineStr">
        <is>
          <t>Eventos</t>
        </is>
      </c>
      <c r="D16" s="16" t="inlineStr">
        <is>
          <t>Custo Total</t>
        </is>
      </c>
      <c r="E16" s="16" t="inlineStr">
        <is>
          <t>% Acumulado</t>
        </is>
      </c>
      <c r="H16" s="16" t="inlineStr">
        <is>
          <t>Forno</t>
        </is>
      </c>
      <c r="I16" s="16" t="inlineStr">
        <is>
          <t>Eventos</t>
        </is>
      </c>
      <c r="J16" s="16" t="inlineStr">
        <is>
          <t>Custo Total</t>
        </is>
      </c>
      <c r="K16" s="16" t="inlineStr">
        <is>
          <t>Risco</t>
        </is>
      </c>
    </row>
    <row r="17" ht="18" customHeight="1">
      <c r="B17" s="17" t="inlineStr">
        <is>
          <t>Tubulacao</t>
        </is>
      </c>
      <c r="C17" s="18">
        <f>COUNTIF(tbEventos[Componente],B17)</f>
        <v/>
      </c>
      <c r="D17" s="19">
        <f>SUMIF(tbEventos[Componente],B17,tbEventos[CustoEstimado])</f>
        <v/>
      </c>
      <c r="E17" s="20">
        <f>IFERROR(SUM(D$17:D17)/SUM(D$17:D$22),0)</f>
        <v/>
      </c>
      <c r="H17" s="17" t="inlineStr">
        <is>
          <t>F-101</t>
        </is>
      </c>
      <c r="I17" s="18">
        <f>COUNTIF(tbEventos[Forno],H17)</f>
        <v/>
      </c>
      <c r="J17" s="19">
        <f>SUMIF(tbEventos[Forno],H17,tbEventos[CustoEstimado])</f>
        <v/>
      </c>
      <c r="K17" s="21">
        <f>IF(J17&gt;500000,"Critico",IF(J17&gt;200000,"Alto",IF(J17&gt;50000,"Medio","Baixo")))</f>
        <v/>
      </c>
    </row>
    <row r="18" ht="18" customHeight="1">
      <c r="B18" s="17" t="inlineStr">
        <is>
          <t>Bujao Refratario</t>
        </is>
      </c>
      <c r="C18" s="18">
        <f>COUNTIF(tbEventos[Componente],B18)</f>
        <v/>
      </c>
      <c r="D18" s="19">
        <f>SUMIF(tbEventos[Componente],B18,tbEventos[CustoEstimado])</f>
        <v/>
      </c>
      <c r="E18" s="20">
        <f>IFERROR(SUM(D$17:D18)/SUM(D$17:D$22),0)</f>
        <v/>
      </c>
      <c r="H18" s="17" t="inlineStr">
        <is>
          <t>F-102</t>
        </is>
      </c>
      <c r="I18" s="18">
        <f>COUNTIF(tbEventos[Forno],H18)</f>
        <v/>
      </c>
      <c r="J18" s="19">
        <f>SUMIF(tbEventos[Forno],H18,tbEventos[CustoEstimado])</f>
        <v/>
      </c>
      <c r="K18" s="21">
        <f>IF(J18&gt;500000,"Critico",IF(J18&gt;200000,"Alto",IF(J18&gt;50000,"Medio","Baixo")))</f>
        <v/>
      </c>
    </row>
    <row r="19" ht="18" customHeight="1">
      <c r="B19" s="17" t="inlineStr">
        <is>
          <t>Marmita</t>
        </is>
      </c>
      <c r="C19" s="18">
        <f>COUNTIF(tbEventos[Componente],B19)</f>
        <v/>
      </c>
      <c r="D19" s="19">
        <f>SUMIF(tbEventos[Componente],B19,tbEventos[CustoEstimado])</f>
        <v/>
      </c>
      <c r="E19" s="20">
        <f>IFERROR(SUM(D$17:D19)/SUM(D$17:D$22),0)</f>
        <v/>
      </c>
      <c r="H19" s="17" t="inlineStr">
        <is>
          <t>F-201</t>
        </is>
      </c>
      <c r="I19" s="18">
        <f>COUNTIF(tbEventos[Forno],H19)</f>
        <v/>
      </c>
      <c r="J19" s="19">
        <f>SUMIF(tbEventos[Forno],H19,tbEventos[CustoEstimado])</f>
        <v/>
      </c>
      <c r="K19" s="21">
        <f>IF(J19&gt;500000,"Critico",IF(J19&gt;200000,"Alto",IF(J19&gt;50000,"Medio","Baixo")))</f>
        <v/>
      </c>
    </row>
    <row r="20" ht="18" customHeight="1">
      <c r="B20" s="17" t="inlineStr">
        <is>
          <t>Manta Isolante</t>
        </is>
      </c>
      <c r="C20" s="18">
        <f>COUNTIF(tbEventos[Componente],B20)</f>
        <v/>
      </c>
      <c r="D20" s="19">
        <f>SUMIF(tbEventos[Componente],B20,tbEventos[CustoEstimado])</f>
        <v/>
      </c>
      <c r="E20" s="20">
        <f>IFERROR(SUM(D$17:D20)/SUM(D$17:D$22),0)</f>
        <v/>
      </c>
      <c r="H20" s="17" t="inlineStr">
        <is>
          <t>F-202</t>
        </is>
      </c>
      <c r="I20" s="18">
        <f>COUNTIF(tbEventos[Forno],H20)</f>
        <v/>
      </c>
      <c r="J20" s="19">
        <f>SUMIF(tbEventos[Forno],H20,tbEventos[CustoEstimado])</f>
        <v/>
      </c>
      <c r="K20" s="21">
        <f>IF(J20&gt;500000,"Critico",IF(J20&gt;200000,"Alto",IF(J20&gt;50000,"Medio","Baixo")))</f>
        <v/>
      </c>
    </row>
    <row r="21" ht="18" customHeight="1">
      <c r="B21" s="17" t="inlineStr">
        <is>
          <t>Queimador</t>
        </is>
      </c>
      <c r="C21" s="18">
        <f>COUNTIF(tbEventos[Componente],B21)</f>
        <v/>
      </c>
      <c r="D21" s="19">
        <f>SUMIF(tbEventos[Componente],B21,tbEventos[CustoEstimado])</f>
        <v/>
      </c>
      <c r="E21" s="20">
        <f>IFERROR(SUM(D$17:D21)/SUM(D$17:D$22),0)</f>
        <v/>
      </c>
      <c r="H21" s="17" t="inlineStr">
        <is>
          <t>F-301</t>
        </is>
      </c>
      <c r="I21" s="18">
        <f>COUNTIF(tbEventos[Forno],H21)</f>
        <v/>
      </c>
      <c r="J21" s="19">
        <f>SUMIF(tbEventos[Forno],H21,tbEventos[CustoEstimado])</f>
        <v/>
      </c>
      <c r="K21" s="21">
        <f>IF(J21&gt;500000,"Critico",IF(J21&gt;200000,"Alto",IF(J21&gt;50000,"Medio","Baixo")))</f>
        <v/>
      </c>
    </row>
    <row r="22" ht="18" customHeight="1">
      <c r="B22" s="17" t="inlineStr">
        <is>
          <t>Ventilador de Exaustao</t>
        </is>
      </c>
      <c r="C22" s="18">
        <f>COUNTIF(tbEventos[Componente],B22)</f>
        <v/>
      </c>
      <c r="D22" s="19">
        <f>SUMIF(tbEventos[Componente],B22,tbEventos[CustoEstimado])</f>
        <v/>
      </c>
      <c r="E22" s="20">
        <f>IFERROR(SUM(D$17:D22)/SUM(D$17:D$22),0)</f>
        <v/>
      </c>
      <c r="H22" s="17" t="inlineStr">
        <is>
          <t>F-302</t>
        </is>
      </c>
      <c r="I22" s="18">
        <f>COUNTIF(tbEventos[Forno],H22)</f>
        <v/>
      </c>
      <c r="J22" s="19">
        <f>SUMIF(tbEventos[Forno],H22,tbEventos[CustoEstimado])</f>
        <v/>
      </c>
      <c r="K22" s="21">
        <f>IF(J22&gt;500000,"Critico",IF(J22&gt;200000,"Alto",IF(J22&gt;50000,"Medio","Baixo")))</f>
        <v/>
      </c>
    </row>
    <row r="24" ht="26" customHeight="1">
      <c r="B24" s="5" t="inlineStr">
        <is>
          <t>Evolucao Mensal e Recomendacoes</t>
        </is>
      </c>
    </row>
    <row r="25" ht="22" customHeight="1">
      <c r="B25" s="16" t="inlineStr">
        <is>
          <t>Mes</t>
        </is>
      </c>
      <c r="C25" s="16" t="inlineStr">
        <is>
          <t>Eventos</t>
        </is>
      </c>
      <c r="D25" s="16" t="inlineStr">
        <is>
          <t>Custo (R$)</t>
        </is>
      </c>
      <c r="E25" s="16" t="inlineStr">
        <is>
          <t>MTTR (h)</t>
        </is>
      </c>
      <c r="F25" s="16" t="inlineStr">
        <is>
          <t>Disponib.</t>
        </is>
      </c>
      <c r="H25" s="16" t="inlineStr">
        <is>
          <t>Recomendacoes Automaticas</t>
        </is>
      </c>
      <c r="I25" s="22" t="n"/>
      <c r="J25" s="22" t="n"/>
      <c r="K25" s="22" t="n"/>
      <c r="L25" s="23" t="n"/>
    </row>
    <row r="26" ht="18" customHeight="1">
      <c r="B26" s="17" t="inlineStr">
        <is>
          <t>Jan/26</t>
        </is>
      </c>
      <c r="C26" s="18">
        <f>SUMPRODUCT((MONTH(tbEventos[Data])=1)*1)</f>
        <v/>
      </c>
      <c r="D26" s="19">
        <f>SUMPRODUCT((MONTH(tbEventos[Data])=1)*tbEventos[CustoEstimado])</f>
        <v/>
      </c>
      <c r="E26" s="24">
        <f>IFERROR(AVERAGEIFS(tbEventos[DuracaoHoras],tbEventos[Data],"&gt;="&amp;DATE(2026,1,1),tbEventos[Data],"&lt;"&amp;DATE(2026,1+1,1)),0)</f>
        <v/>
      </c>
      <c r="F26" s="20">
        <f>IFERROR(1-SUMPRODUCT((MONTH(tbEventos[Data])=1)*tbEventos[DuracaoHoras])/(24*30),0)</f>
        <v/>
      </c>
      <c r="H26" s="25">
        <f>IF(B7&lt;K_META_DISPONIBILIDADE,"Acao: Disponibilidade abaixo da meta. Revisar plano preventivo.","OK: Disponibilidade dentro da meta.")</f>
        <v/>
      </c>
    </row>
    <row r="27" ht="18" customHeight="1">
      <c r="B27" s="17" t="inlineStr">
        <is>
          <t>Fev/26</t>
        </is>
      </c>
      <c r="C27" s="18">
        <f>SUMPRODUCT((MONTH(tbEventos[Data])=2)*1)</f>
        <v/>
      </c>
      <c r="D27" s="19">
        <f>SUMPRODUCT((MONTH(tbEventos[Data])=2)*tbEventos[CustoEstimado])</f>
        <v/>
      </c>
      <c r="E27" s="24">
        <f>IFERROR(AVERAGEIFS(tbEventos[DuracaoHoras],tbEventos[Data],"&gt;="&amp;DATE(2026,2,1),tbEventos[Data],"&lt;"&amp;DATE(2026,2+1,1)),0)</f>
        <v/>
      </c>
      <c r="F27" s="20">
        <f>IFERROR(1-SUMPRODUCT((MONTH(tbEventos[Data])=2)*tbEventos[DuracaoHoras])/(24*30),0)</f>
        <v/>
      </c>
      <c r="H27" s="25">
        <f>IF(H7&gt;K_META_MTTR,"Acao: MTTR alto. Treinar equipe e revisar peças sobressalentes.","OK: MTTR dentro da meta.")</f>
        <v/>
      </c>
    </row>
    <row r="28" ht="18" customHeight="1">
      <c r="B28" s="17" t="inlineStr">
        <is>
          <t>Mar/26</t>
        </is>
      </c>
      <c r="C28" s="18">
        <f>SUMPRODUCT((MONTH(tbEventos[Data])=3)*1)</f>
        <v/>
      </c>
      <c r="D28" s="19">
        <f>SUMPRODUCT((MONTH(tbEventos[Data])=3)*tbEventos[CustoEstimado])</f>
        <v/>
      </c>
      <c r="E28" s="24">
        <f>IFERROR(AVERAGEIFS(tbEventos[DuracaoHoras],tbEventos[Data],"&gt;="&amp;DATE(2026,3,1),tbEventos[Data],"&lt;"&amp;DATE(2026,3+1,1)),0)</f>
        <v/>
      </c>
      <c r="F28" s="20">
        <f>IFERROR(1-SUMPRODUCT((MONTH(tbEventos[Data])=3)*tbEventos[DuracaoHoras])/(24*30),0)</f>
        <v/>
      </c>
      <c r="H28" s="25">
        <f>IF(E7&lt;K_META_MTBF,"Acao: MTBF abaixo da meta. Investigar componentes recorrentes.","OK: MTBF dentro da meta.")</f>
        <v/>
      </c>
    </row>
    <row r="29" ht="18" customHeight="1">
      <c r="B29" s="17" t="inlineStr">
        <is>
          <t>Abr/26</t>
        </is>
      </c>
      <c r="C29" s="18">
        <f>SUMPRODUCT((MONTH(tbEventos[Data])=4)*1)</f>
        <v/>
      </c>
      <c r="D29" s="19">
        <f>SUMPRODUCT((MONTH(tbEventos[Data])=4)*tbEventos[CustoEstimado])</f>
        <v/>
      </c>
      <c r="E29" s="24">
        <f>IFERROR(AVERAGEIFS(tbEventos[DuracaoHoras],tbEventos[Data],"&gt;="&amp;DATE(2026,4,1),tbEventos[Data],"&lt;"&amp;DATE(2026,4+1,1)),0)</f>
        <v/>
      </c>
      <c r="F29" s="20">
        <f>IFERROR(1-SUMPRODUCT((MONTH(tbEventos[Data])=4)*tbEventos[DuracaoHoras])/(24*30),0)</f>
        <v/>
      </c>
      <c r="H29" s="25">
        <f>IF(K9&gt;0,"Atencao: existem eventos criticos. Revisar plano de acao em ANALISE.","Sem eventos criticos no periodo.")</f>
        <v/>
      </c>
    </row>
    <row r="30" ht="18" customHeight="1">
      <c r="B30" s="17" t="inlineStr">
        <is>
          <t>Mai/26</t>
        </is>
      </c>
      <c r="C30" s="18">
        <f>SUMPRODUCT((MONTH(tbEventos[Data])=5)*1)</f>
        <v/>
      </c>
      <c r="D30" s="19">
        <f>SUMPRODUCT((MONTH(tbEventos[Data])=5)*tbEventos[CustoEstimado])</f>
        <v/>
      </c>
      <c r="E30" s="24">
        <f>IFERROR(AVERAGEIFS(tbEventos[DuracaoHoras],tbEventos[Data],"&gt;="&amp;DATE(2026,5,1),tbEventos[Data],"&lt;"&amp;DATE(2026,5+1,1)),0)</f>
        <v/>
      </c>
      <c r="F30" s="20">
        <f>IFERROR(1-SUMPRODUCT((MONTH(tbEventos[Data])=5)*tbEventos[DuracaoHoras])/(24*30),0)</f>
        <v/>
      </c>
      <c r="H30" s="25">
        <f>IF(B10&gt;K_LIMIAR_CUSTO,"Acao: Custo total elevado. Avaliar pacote PRO em MODELO_COMERCIAL.","Custo total sob controle.")</f>
        <v/>
      </c>
    </row>
  </sheetData>
  <mergeCells count="14">
    <mergeCell ref="H27:L27"/>
    <mergeCell ref="H30:L30"/>
    <mergeCell ref="H3:L3"/>
    <mergeCell ref="H26:L26"/>
    <mergeCell ref="A1:M1"/>
    <mergeCell ref="H25:L25"/>
    <mergeCell ref="H29:L29"/>
    <mergeCell ref="B15:F15"/>
    <mergeCell ref="H15:L15"/>
    <mergeCell ref="B3:F3"/>
    <mergeCell ref="B24:L24"/>
    <mergeCell ref="B5:L5"/>
    <mergeCell ref="H28:L28"/>
    <mergeCell ref="A2:M2"/>
  </mergeCells>
  <conditionalFormatting sqref="K17:K22">
    <cfRule type="expression" priority="1" dxfId="0">
      <formula>$K17="Critico"</formula>
    </cfRule>
    <cfRule type="expression" priority="2" dxfId="1">
      <formula>$K17="Alto"</formula>
    </cfRule>
    <cfRule type="expression" priority="3" dxfId="2">
      <formula>$K17="Medio"</formula>
    </cfRule>
    <cfRule type="expression" priority="4" dxfId="3">
      <formula>$K17="Baixo"</formula>
    </cfRule>
  </conditionalFormatting>
  <conditionalFormatting sqref="D26:D30">
    <cfRule type="colorScale" priority="5">
      <colorScale>
        <cfvo type="min"/>
        <cfvo type="percentile" val="50"/>
        <cfvo type="max"/>
        <color rgb="FFE8F5E9"/>
        <color rgb="FFFFF4E1"/>
        <color rgb="FFFDECEC"/>
      </colorScale>
    </cfRule>
  </conditionalFormatting>
  <printOptions horizontalCentered="1"/>
  <pageMargins left="0.4" right="0.4" top="0.6" bottom="0.6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32" customWidth="1" min="3" max="3"/>
    <col width="4" customWidth="1" min="4" max="4"/>
    <col width="22" customWidth="1" min="5" max="5"/>
    <col width="32" customWidth="1" min="6" max="6"/>
    <col width="2" customWidth="1" min="7" max="7"/>
    <col width="22" customWidth="1" min="8" max="8"/>
    <col width="32" customWidth="1" min="9" max="9"/>
  </cols>
  <sheetData>
    <row r="1" ht="38" customHeight="1">
      <c r="A1" s="1" t="inlineStr">
        <is>
          <t>EXAUSTAO 360 - REGISTRO DE EVENTO</t>
        </is>
      </c>
    </row>
    <row r="2" ht="22" customHeight="1">
      <c r="A2" s="2" t="inlineStr">
        <is>
          <t>Preencha os campos abaixo. Campos com (*) sao obrigatorios. Use os botoes para Salvar, Limpar ou Validar.</t>
        </is>
      </c>
    </row>
    <row r="4" ht="26" customHeight="1">
      <c r="B4" s="5" t="inlineStr">
        <is>
          <t>Novo Registro Operacional</t>
        </is>
      </c>
    </row>
    <row r="5" ht="22" customHeight="1">
      <c r="B5" s="26" t="inlineStr">
        <is>
          <t>Data (*)</t>
        </is>
      </c>
      <c r="C5" s="27">
        <f>TODAY()</f>
        <v/>
      </c>
      <c r="E5" s="26" t="inlineStr">
        <is>
          <t>Componente</t>
        </is>
      </c>
      <c r="F5" s="28" t="inlineStr"/>
    </row>
    <row r="6" ht="22" customHeight="1">
      <c r="B6" s="26" t="inlineStr">
        <is>
          <t>Hora (*)</t>
        </is>
      </c>
      <c r="C6" s="29">
        <f>TEXT(NOW(),"hh:mm")</f>
        <v/>
      </c>
      <c r="E6" s="26" t="inlineStr">
        <is>
          <t>Criticidade (*)</t>
        </is>
      </c>
      <c r="F6" s="28" t="inlineStr"/>
    </row>
    <row r="7" ht="22" customHeight="1">
      <c r="B7" s="26" t="inlineStr">
        <is>
          <t>Operador (*)</t>
        </is>
      </c>
      <c r="C7" s="28" t="inlineStr"/>
      <c r="E7" s="26" t="inlineStr">
        <is>
          <t>Duracao (horas)</t>
        </is>
      </c>
      <c r="F7" s="30" t="n">
        <v>0</v>
      </c>
    </row>
    <row r="8" ht="22" customHeight="1">
      <c r="B8" s="26" t="inlineStr">
        <is>
          <t>Turno</t>
        </is>
      </c>
      <c r="C8" s="28" t="inlineStr"/>
      <c r="E8" s="26" t="inlineStr">
        <is>
          <t>Custo Estimado</t>
        </is>
      </c>
      <c r="F8" s="31" t="n">
        <v>0</v>
      </c>
    </row>
    <row r="9" ht="22" customHeight="1">
      <c r="B9" s="26" t="inlineStr">
        <is>
          <t>Forno (*)</t>
        </is>
      </c>
      <c r="C9" s="28" t="inlineStr"/>
      <c r="E9" s="26" t="inlineStr">
        <is>
          <t>Status</t>
        </is>
      </c>
      <c r="F9" s="28" t="inlineStr">
        <is>
          <t>Aberto</t>
        </is>
      </c>
    </row>
    <row r="10" ht="22" customHeight="1">
      <c r="B10" s="26" t="inlineStr">
        <is>
          <t>Tipo de Evento (*)</t>
        </is>
      </c>
      <c r="C10" s="28" t="inlineStr"/>
      <c r="E10" s="26" t="inlineStr">
        <is>
          <t>Numero da OS</t>
        </is>
      </c>
      <c r="F10" s="28" t="inlineStr"/>
    </row>
    <row r="11" ht="22" customHeight="1">
      <c r="B11" s="26" t="inlineStr">
        <is>
          <t>Categoria</t>
        </is>
      </c>
      <c r="C11" s="28" t="inlineStr"/>
      <c r="E11" s="26" t="inlineStr">
        <is>
          <t>Codigo do Lote</t>
        </is>
      </c>
      <c r="F11" s="28" t="inlineStr"/>
    </row>
    <row r="13" ht="22" customHeight="1">
      <c r="B13" s="26" t="inlineStr">
        <is>
          <t>Observacao</t>
        </is>
      </c>
      <c r="C13" s="32" t="n"/>
    </row>
    <row r="14" ht="22" customHeight="1"/>
    <row r="15" ht="22" customHeight="1"/>
    <row r="17" ht="26" customHeight="1">
      <c r="B17" s="5" t="inlineStr">
        <is>
          <t>Status do Registro</t>
        </is>
      </c>
    </row>
    <row r="18" ht="22" customHeight="1">
      <c r="B18" s="33" t="inlineStr">
        <is>
          <t>Pronto para registro. Clique em VALIDAR para conferir os dados.</t>
        </is>
      </c>
    </row>
    <row r="19" ht="22" customHeight="1"/>
    <row r="21" ht="26" customHeight="1">
      <c r="B21" s="5" t="inlineStr">
        <is>
          <t>Acoes</t>
        </is>
      </c>
    </row>
    <row r="22" ht="30" customHeight="1">
      <c r="C22" s="34" t="inlineStr">
        <is>
          <t>VALIDAR</t>
        </is>
      </c>
      <c r="E22" s="35" t="inlineStr">
        <is>
          <t>SALVAR / REGISTRAR</t>
        </is>
      </c>
      <c r="G22" s="36" t="inlineStr">
        <is>
          <t>LIMPAR</t>
        </is>
      </c>
    </row>
    <row r="25" ht="18" customHeight="1">
      <c r="B25" s="37" t="inlineStr">
        <is>
          <t>INSTRUCOES: 1) Preencha os campos. 2) Clique em VALIDAR. 3) Se OK, clique em SALVAR. O registro e gravado em BASE &gt; tbEventos e o DASHBOARD e atualizado. Use LIMPAR para iniciar novo registro.</t>
        </is>
      </c>
    </row>
    <row r="26" ht="18" customHeight="1"/>
    <row r="27" ht="18" customHeight="1"/>
  </sheetData>
  <mergeCells count="8">
    <mergeCell ref="B18:I19"/>
    <mergeCell ref="B21:I21"/>
    <mergeCell ref="A2:I2"/>
    <mergeCell ref="C13:I15"/>
    <mergeCell ref="B25:I27"/>
    <mergeCell ref="A1:I1"/>
    <mergeCell ref="B4:I4"/>
    <mergeCell ref="B17:I17"/>
  </mergeCells>
  <dataValidations count="10">
    <dataValidation sqref="C7" showDropDown="0" showInputMessage="1" showErrorMessage="1" allowBlank="1" error="Operador nao cadastrado em CONFIG." prompt="Selecione o operador na lista" type="list">
      <formula1>=INDIRECT("tbOperadores[Nome]")</formula1>
    </dataValidation>
    <dataValidation sqref="C8" showDropDown="0" showInputMessage="1" showErrorMessage="0" allowBlank="1" prompt="Turno (A, B ou C)" type="list">
      <formula1>"A,B,C"</formula1>
    </dataValidation>
    <dataValidation sqref="C9" showDropDown="0" showInputMessage="1" showErrorMessage="1" allowBlank="1" error="Forno nao cadastrado em CONFIG." prompt="Selecione o forno" type="list">
      <formula1>=INDIRECT("tbFornos[ID]")</formula1>
    </dataValidation>
    <dataValidation sqref="C10" showDropDown="0" showInputMessage="1" showErrorMessage="1" allowBlank="1" error="Tipo nao cadastrado." prompt="Selecione o tipo de evento" type="list">
      <formula1>=INDIRECT("tbTiposEvento[Tipo]")</formula1>
    </dataValidation>
    <dataValidation sqref="C11" showDropDown="0" showInputMessage="1" showErrorMessage="0" allowBlank="1" prompt="Selecione a categoria" type="list">
      <formula1>=INDIRECT("tbCategorias[Categoria]")</formula1>
    </dataValidation>
    <dataValidation sqref="F5" showDropDown="0" showInputMessage="1" showErrorMessage="0" allowBlank="1" prompt="Selecione o componente" type="list">
      <formula1>=INDIRECT("tbComponentes[Nome]")</formula1>
    </dataValidation>
    <dataValidation sqref="F6" showDropDown="0" showInputMessage="1" showErrorMessage="0" allowBlank="1" prompt="Selecione a criticidade" type="list">
      <formula1>=INDIRECT("tbCriticidades[Nivel]")</formula1>
    </dataValidation>
    <dataValidation sqref="F9" showDropDown="0" showInputMessage="1" showErrorMessage="0" allowBlank="1" prompt="Status do evento" type="list">
      <formula1>"Aberto,Em analise,Resolvido"</formula1>
    </dataValidation>
    <dataValidation sqref="F7" showDropDown="0" showInputMessage="0" showErrorMessage="1" allowBlank="1" error="Duracao deve ser &gt;= 0" type="decimal" operator="greaterThanOrEqual">
      <formula1>0</formula1>
    </dataValidation>
    <dataValidation sqref="F8" showDropDown="0" showInputMessage="0" showErrorMessage="1" allowBlank="1" error="Custo deve ser &gt;= 0" type="decimal" operator="greaterThanOrEqual">
      <formula1>0</formula1>
    </dataValidation>
  </dataValidations>
  <printOptions horizontalCentered="1"/>
  <pageMargins left="0.4" right="0.4" top="0.6" bottom="0.6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8" customWidth="1" min="4" max="4"/>
    <col width="18" customWidth="1" min="5" max="5"/>
    <col width="8" customWidth="1" min="6" max="6"/>
    <col width="18" customWidth="1" min="7" max="7"/>
    <col width="14" customWidth="1" min="8" max="8"/>
    <col width="22" customWidth="1" min="9" max="9"/>
    <col width="12" customWidth="1" min="10" max="10"/>
    <col width="14" customWidth="1" min="11" max="11"/>
    <col width="16" customWidth="1" min="12" max="12"/>
    <col width="32" customWidth="1" min="13" max="13"/>
    <col width="14" customWidth="1" min="14" max="14"/>
  </cols>
  <sheetData>
    <row r="1" ht="38" customHeight="1">
      <c r="A1" s="1" t="inlineStr">
        <is>
          <t>EXAUSTAO 360 - BASE DE EVENTOS</t>
        </is>
      </c>
    </row>
    <row r="2" ht="22" customHeight="1">
      <c r="A2" s="2" t="inlineStr">
        <is>
          <t>tbEventos - base mestra de registros operacionais. Nao editar manualmente; usar a aba REGISTRO.</t>
        </is>
      </c>
    </row>
    <row r="4" ht="26" customHeight="1">
      <c r="B4" s="5" t="inlineStr">
        <is>
          <t>tbEventos - Registros Operacionais</t>
        </is>
      </c>
    </row>
    <row r="5">
      <c r="B5" t="inlineStr">
        <is>
          <t>ID</t>
        </is>
      </c>
      <c r="C5" t="inlineStr">
        <is>
          <t>Data</t>
        </is>
      </c>
      <c r="D5" t="inlineStr">
        <is>
          <t>Hora</t>
        </is>
      </c>
      <c r="E5" t="inlineStr">
        <is>
          <t>Operador</t>
        </is>
      </c>
      <c r="F5" t="inlineStr">
        <is>
          <t>Forno</t>
        </is>
      </c>
      <c r="G5" t="inlineStr">
        <is>
          <t>TipoEvento</t>
        </is>
      </c>
      <c r="H5" t="inlineStr">
        <is>
          <t>Categoria</t>
        </is>
      </c>
      <c r="I5" t="inlineStr">
        <is>
          <t>Componente</t>
        </is>
      </c>
      <c r="J5" t="inlineStr">
        <is>
          <t>Criticidade</t>
        </is>
      </c>
      <c r="K5" t="inlineStr">
        <is>
          <t>DuracaoHoras</t>
        </is>
      </c>
      <c r="L5" t="inlineStr">
        <is>
          <t>CustoEstimado</t>
        </is>
      </c>
      <c r="M5" t="inlineStr">
        <is>
          <t>Observacao</t>
        </is>
      </c>
      <c r="N5" t="inlineStr">
        <is>
          <t>Status</t>
        </is>
      </c>
    </row>
    <row r="6">
      <c r="B6" t="n">
        <v>14</v>
      </c>
      <c r="C6" s="38" t="n">
        <v>46024</v>
      </c>
      <c r="D6" s="39" t="n">
        <v>0.2291666666666667</v>
      </c>
      <c r="E6" t="inlineStr">
        <is>
          <t>Joao Santos</t>
        </is>
      </c>
      <c r="F6" t="inlineStr">
        <is>
          <t>F-301</t>
        </is>
      </c>
      <c r="G6" t="inlineStr">
        <is>
          <t>Troca de Componente</t>
        </is>
      </c>
      <c r="H6" t="inlineStr">
        <is>
          <t>Instrumentacao</t>
        </is>
      </c>
      <c r="I6" t="inlineStr">
        <is>
          <t>Bujao Refratario</t>
        </is>
      </c>
      <c r="J6" t="inlineStr">
        <is>
          <t>Alta</t>
        </is>
      </c>
      <c r="K6" s="40" t="n">
        <v>1.1</v>
      </c>
      <c r="L6" s="41" t="n">
        <v>27500</v>
      </c>
      <c r="M6" t="inlineStr">
        <is>
          <t>Evento 014 registrado pelo turno</t>
        </is>
      </c>
      <c r="N6" t="inlineStr">
        <is>
          <t>Resolvido</t>
        </is>
      </c>
    </row>
    <row r="7">
      <c r="B7" t="n">
        <v>32</v>
      </c>
      <c r="C7" s="38" t="n">
        <v>46025</v>
      </c>
      <c r="D7" s="39" t="n">
        <v>0.1458333333333333</v>
      </c>
      <c r="E7" t="inlineStr">
        <is>
          <t>Carlos Silva</t>
        </is>
      </c>
      <c r="F7" t="inlineStr">
        <is>
          <t>F-302</t>
        </is>
      </c>
      <c r="G7" t="inlineStr">
        <is>
          <t>Falha</t>
        </is>
      </c>
      <c r="H7" t="inlineStr">
        <is>
          <t>Operacional</t>
        </is>
      </c>
      <c r="I7" t="inlineStr">
        <is>
          <t>Marmita</t>
        </is>
      </c>
      <c r="J7" t="inlineStr">
        <is>
          <t>Alta</t>
        </is>
      </c>
      <c r="K7" s="40" t="n">
        <v>9</v>
      </c>
      <c r="L7" s="41" t="n">
        <v>225000</v>
      </c>
      <c r="M7" t="inlineStr">
        <is>
          <t>Evento 032 registrado pelo turno</t>
        </is>
      </c>
      <c r="N7" t="inlineStr">
        <is>
          <t>Resolvido</t>
        </is>
      </c>
    </row>
    <row r="8">
      <c r="B8" t="n">
        <v>27</v>
      </c>
      <c r="C8" s="38" t="n">
        <v>46030</v>
      </c>
      <c r="D8" s="39" t="n">
        <v>0.3229166666666667</v>
      </c>
      <c r="E8" t="inlineStr">
        <is>
          <t>Pedro Almeida</t>
        </is>
      </c>
      <c r="F8" t="inlineStr">
        <is>
          <t>F-301</t>
        </is>
      </c>
      <c r="G8" t="inlineStr">
        <is>
          <t>Limpeza</t>
        </is>
      </c>
      <c r="H8" t="inlineStr">
        <is>
          <t>Mecanica</t>
        </is>
      </c>
      <c r="I8" t="inlineStr">
        <is>
          <t>Marmita</t>
        </is>
      </c>
      <c r="J8" t="inlineStr">
        <is>
          <t>Baixa</t>
        </is>
      </c>
      <c r="K8" s="40" t="n">
        <v>0.5</v>
      </c>
      <c r="L8" s="41" t="n">
        <v>3125</v>
      </c>
      <c r="M8" t="inlineStr">
        <is>
          <t>Evento 027 registrado pelo turno</t>
        </is>
      </c>
      <c r="N8" t="inlineStr">
        <is>
          <t>Aberto</t>
        </is>
      </c>
    </row>
    <row r="9">
      <c r="B9" t="n">
        <v>28</v>
      </c>
      <c r="C9" s="38" t="n">
        <v>46032</v>
      </c>
      <c r="D9" s="39" t="n">
        <v>0.1354166666666667</v>
      </c>
      <c r="E9" t="inlineStr">
        <is>
          <t>Pedro Almeida</t>
        </is>
      </c>
      <c r="F9" t="inlineStr">
        <is>
          <t>F-202</t>
        </is>
      </c>
      <c r="G9" t="inlineStr">
        <is>
          <t>Falha</t>
        </is>
      </c>
      <c r="H9" t="inlineStr">
        <is>
          <t>Termica</t>
        </is>
      </c>
      <c r="I9" t="inlineStr">
        <is>
          <t>Manta Isolante</t>
        </is>
      </c>
      <c r="J9" t="inlineStr">
        <is>
          <t>Baixa</t>
        </is>
      </c>
      <c r="K9" s="40" t="n">
        <v>1.4</v>
      </c>
      <c r="L9" s="41" t="n">
        <v>8750</v>
      </c>
      <c r="M9" t="inlineStr">
        <is>
          <t>Evento 028 registrado pelo turno</t>
        </is>
      </c>
      <c r="N9" t="inlineStr">
        <is>
          <t>Aberto</t>
        </is>
      </c>
    </row>
    <row r="10">
      <c r="B10" t="n">
        <v>2</v>
      </c>
      <c r="C10" s="38" t="n">
        <v>46035</v>
      </c>
      <c r="D10" s="39" t="n">
        <v>0.03125</v>
      </c>
      <c r="E10" t="inlineStr">
        <is>
          <t>Pedro Almeida</t>
        </is>
      </c>
      <c r="F10" t="inlineStr">
        <is>
          <t>F-101</t>
        </is>
      </c>
      <c r="G10" t="inlineStr">
        <is>
          <t>Falha</t>
        </is>
      </c>
      <c r="H10" t="inlineStr">
        <is>
          <t>Eletrica</t>
        </is>
      </c>
      <c r="I10" t="inlineStr">
        <is>
          <t>Manta Isolante</t>
        </is>
      </c>
      <c r="J10" t="inlineStr">
        <is>
          <t>Media</t>
        </is>
      </c>
      <c r="K10" s="40" t="n">
        <v>7</v>
      </c>
      <c r="L10" s="41" t="n">
        <v>87500</v>
      </c>
      <c r="M10" t="inlineStr">
        <is>
          <t>Evento 002 registrado pelo turno</t>
        </is>
      </c>
      <c r="N10" t="inlineStr">
        <is>
          <t>Aberto</t>
        </is>
      </c>
    </row>
    <row r="11">
      <c r="B11" t="n">
        <v>34</v>
      </c>
      <c r="C11" s="38" t="n">
        <v>46035</v>
      </c>
      <c r="D11" s="39" t="n">
        <v>0.1145833333333333</v>
      </c>
      <c r="E11" t="inlineStr">
        <is>
          <t>Lucia Ferreira</t>
        </is>
      </c>
      <c r="F11" t="inlineStr">
        <is>
          <t>F-201</t>
        </is>
      </c>
      <c r="G11" t="inlineStr">
        <is>
          <t>Falha</t>
        </is>
      </c>
      <c r="H11" t="inlineStr">
        <is>
          <t>Eletrica</t>
        </is>
      </c>
      <c r="I11" t="inlineStr">
        <is>
          <t>Ventilador de Exaustao</t>
        </is>
      </c>
      <c r="J11" t="inlineStr">
        <is>
          <t>Critica</t>
        </is>
      </c>
      <c r="K11" s="40" t="n">
        <v>2.4</v>
      </c>
      <c r="L11" s="41" t="n">
        <v>120000</v>
      </c>
      <c r="M11" t="inlineStr">
        <is>
          <t>Evento 034 registrado pelo turno</t>
        </is>
      </c>
      <c r="N11" t="inlineStr">
        <is>
          <t>Em analise</t>
        </is>
      </c>
    </row>
    <row r="12">
      <c r="B12" t="n">
        <v>44</v>
      </c>
      <c r="C12" s="38" t="n">
        <v>46039</v>
      </c>
      <c r="D12" s="39" t="n">
        <v>0.53125</v>
      </c>
      <c r="E12" t="inlineStr">
        <is>
          <t>Pedro Almeida</t>
        </is>
      </c>
      <c r="F12" t="inlineStr">
        <is>
          <t>F-302</t>
        </is>
      </c>
      <c r="G12" t="inlineStr">
        <is>
          <t>Limpeza</t>
        </is>
      </c>
      <c r="H12" t="inlineStr">
        <is>
          <t>Termica</t>
        </is>
      </c>
      <c r="I12" t="inlineStr">
        <is>
          <t>Marmita</t>
        </is>
      </c>
      <c r="J12" t="inlineStr">
        <is>
          <t>Baixa</t>
        </is>
      </c>
      <c r="K12" s="40" t="n">
        <v>1.2</v>
      </c>
      <c r="L12" s="41" t="n">
        <v>7500</v>
      </c>
      <c r="M12" t="inlineStr">
        <is>
          <t>Evento 044 registrado pelo turno</t>
        </is>
      </c>
      <c r="N12" t="inlineStr">
        <is>
          <t>Resolvido</t>
        </is>
      </c>
    </row>
    <row r="13">
      <c r="B13" t="n">
        <v>57</v>
      </c>
      <c r="C13" s="38" t="n">
        <v>46040</v>
      </c>
      <c r="D13" s="39" t="n">
        <v>0.84375</v>
      </c>
      <c r="E13" t="inlineStr">
        <is>
          <t>Maria Oliveira</t>
        </is>
      </c>
      <c r="F13" t="inlineStr">
        <is>
          <t>F-101</t>
        </is>
      </c>
      <c r="G13" t="inlineStr">
        <is>
          <t>Falha</t>
        </is>
      </c>
      <c r="H13" t="inlineStr">
        <is>
          <t>Eletrica</t>
        </is>
      </c>
      <c r="I13" t="inlineStr">
        <is>
          <t>Ventilador de Exaustao</t>
        </is>
      </c>
      <c r="J13" t="inlineStr">
        <is>
          <t>Baixa</t>
        </is>
      </c>
      <c r="K13" s="40" t="n">
        <v>9.300000000000001</v>
      </c>
      <c r="L13" s="41" t="n">
        <v>58125</v>
      </c>
      <c r="M13" t="inlineStr">
        <is>
          <t>Evento 057 registrado pelo turno</t>
        </is>
      </c>
      <c r="N13" t="inlineStr">
        <is>
          <t>Em analise</t>
        </is>
      </c>
    </row>
    <row r="14">
      <c r="B14" t="n">
        <v>47</v>
      </c>
      <c r="C14" s="38" t="n">
        <v>46041</v>
      </c>
      <c r="D14" s="39" t="n">
        <v>0.25</v>
      </c>
      <c r="E14" t="inlineStr">
        <is>
          <t>Maria Oliveira</t>
        </is>
      </c>
      <c r="F14" t="inlineStr">
        <is>
          <t>F-102</t>
        </is>
      </c>
      <c r="G14" t="inlineStr">
        <is>
          <t>Calibracao</t>
        </is>
      </c>
      <c r="H14" t="inlineStr">
        <is>
          <t>Refratario</t>
        </is>
      </c>
      <c r="I14" t="inlineStr">
        <is>
          <t>Bujao Refratario</t>
        </is>
      </c>
      <c r="J14" t="inlineStr">
        <is>
          <t>Alta</t>
        </is>
      </c>
      <c r="K14" s="40" t="n">
        <v>1.2</v>
      </c>
      <c r="L14" s="41" t="n">
        <v>30000</v>
      </c>
      <c r="M14" t="inlineStr">
        <is>
          <t>Evento 047 registrado pelo turno</t>
        </is>
      </c>
      <c r="N14" t="inlineStr">
        <is>
          <t>Em analise</t>
        </is>
      </c>
    </row>
    <row r="15">
      <c r="B15" t="n">
        <v>15</v>
      </c>
      <c r="C15" s="38" t="n">
        <v>46042</v>
      </c>
      <c r="D15" s="39" t="n">
        <v>0.71875</v>
      </c>
      <c r="E15" t="inlineStr">
        <is>
          <t>Joao Santos</t>
        </is>
      </c>
      <c r="F15" t="inlineStr">
        <is>
          <t>F-301</t>
        </is>
      </c>
      <c r="G15" t="inlineStr">
        <is>
          <t>Limpeza</t>
        </is>
      </c>
      <c r="H15" t="inlineStr">
        <is>
          <t>Termica</t>
        </is>
      </c>
      <c r="I15" t="inlineStr">
        <is>
          <t>Tubulacao</t>
        </is>
      </c>
      <c r="J15" t="inlineStr">
        <is>
          <t>Media</t>
        </is>
      </c>
      <c r="K15" s="40" t="n">
        <v>0.4</v>
      </c>
      <c r="L15" s="41" t="n">
        <v>5000</v>
      </c>
      <c r="M15" t="inlineStr">
        <is>
          <t>Evento 015 registrado pelo turno</t>
        </is>
      </c>
      <c r="N15" t="inlineStr">
        <is>
          <t>Resolvido</t>
        </is>
      </c>
    </row>
    <row r="16">
      <c r="B16" t="n">
        <v>12</v>
      </c>
      <c r="C16" s="38" t="n">
        <v>46043</v>
      </c>
      <c r="D16" s="39" t="n">
        <v>0.09375</v>
      </c>
      <c r="E16" t="inlineStr">
        <is>
          <t>Maria Oliveira</t>
        </is>
      </c>
      <c r="F16" t="inlineStr">
        <is>
          <t>F-302</t>
        </is>
      </c>
      <c r="G16" t="inlineStr">
        <is>
          <t>Parada Programada</t>
        </is>
      </c>
      <c r="H16" t="inlineStr">
        <is>
          <t>Refratario</t>
        </is>
      </c>
      <c r="I16" t="inlineStr">
        <is>
          <t>Bujao Refratario</t>
        </is>
      </c>
      <c r="J16" t="inlineStr">
        <is>
          <t>Media</t>
        </is>
      </c>
      <c r="K16" s="40" t="n">
        <v>4.8</v>
      </c>
      <c r="L16" s="41" t="n">
        <v>60000</v>
      </c>
      <c r="M16" t="inlineStr">
        <is>
          <t>Evento 012 registrado pelo turno</t>
        </is>
      </c>
      <c r="N16" t="inlineStr">
        <is>
          <t>Resolvido</t>
        </is>
      </c>
    </row>
    <row r="17">
      <c r="B17" t="n">
        <v>42</v>
      </c>
      <c r="C17" s="38" t="n">
        <v>46047</v>
      </c>
      <c r="D17" s="39" t="n">
        <v>0.5833333333333334</v>
      </c>
      <c r="E17" t="inlineStr">
        <is>
          <t>Maria Oliveira</t>
        </is>
      </c>
      <c r="F17" t="inlineStr">
        <is>
          <t>F-302</t>
        </is>
      </c>
      <c r="G17" t="inlineStr">
        <is>
          <t>Parada Programada</t>
        </is>
      </c>
      <c r="H17" t="inlineStr">
        <is>
          <t>Operacional</t>
        </is>
      </c>
      <c r="I17" t="inlineStr">
        <is>
          <t>Manta Isolante</t>
        </is>
      </c>
      <c r="J17" t="inlineStr">
        <is>
          <t>Baixa</t>
        </is>
      </c>
      <c r="K17" s="40" t="n">
        <v>6</v>
      </c>
      <c r="L17" s="41" t="n">
        <v>37500</v>
      </c>
      <c r="M17" t="inlineStr">
        <is>
          <t>Evento 042 registrado pelo turno</t>
        </is>
      </c>
      <c r="N17" t="inlineStr">
        <is>
          <t>Resolvido</t>
        </is>
      </c>
    </row>
    <row r="18">
      <c r="B18" t="n">
        <v>23</v>
      </c>
      <c r="C18" s="38" t="n">
        <v>46054</v>
      </c>
      <c r="D18" s="39" t="n">
        <v>0.5104166666666666</v>
      </c>
      <c r="E18" t="inlineStr">
        <is>
          <t>Joao Santos</t>
        </is>
      </c>
      <c r="F18" t="inlineStr">
        <is>
          <t>F-301</t>
        </is>
      </c>
      <c r="G18" t="inlineStr">
        <is>
          <t>Parada Programada</t>
        </is>
      </c>
      <c r="H18" t="inlineStr">
        <is>
          <t>Eletrica</t>
        </is>
      </c>
      <c r="I18" t="inlineStr">
        <is>
          <t>Damper</t>
        </is>
      </c>
      <c r="J18" t="inlineStr">
        <is>
          <t>Media</t>
        </is>
      </c>
      <c r="K18" s="40" t="n">
        <v>7.2</v>
      </c>
      <c r="L18" s="41" t="n">
        <v>90000</v>
      </c>
      <c r="M18" t="inlineStr">
        <is>
          <t>Evento 023 registrado pelo turno</t>
        </is>
      </c>
      <c r="N18" t="inlineStr">
        <is>
          <t>Resolvido</t>
        </is>
      </c>
    </row>
    <row r="19">
      <c r="B19" t="n">
        <v>41</v>
      </c>
      <c r="C19" s="38" t="n">
        <v>46056</v>
      </c>
      <c r="D19" s="39" t="n">
        <v>0.2916666666666667</v>
      </c>
      <c r="E19" t="inlineStr">
        <is>
          <t>Pedro Almeida</t>
        </is>
      </c>
      <c r="F19" t="inlineStr">
        <is>
          <t>F-301</t>
        </is>
      </c>
      <c r="G19" t="inlineStr">
        <is>
          <t>Parada Programada</t>
        </is>
      </c>
      <c r="H19" t="inlineStr">
        <is>
          <t>Refratario</t>
        </is>
      </c>
      <c r="I19" t="inlineStr">
        <is>
          <t>Ventilador de Exaustao</t>
        </is>
      </c>
      <c r="J19" t="inlineStr">
        <is>
          <t>Critica</t>
        </is>
      </c>
      <c r="K19" s="40" t="n">
        <v>2.7</v>
      </c>
      <c r="L19" s="41" t="n">
        <v>135000</v>
      </c>
      <c r="M19" t="inlineStr">
        <is>
          <t>Evento 041 registrado pelo turno</t>
        </is>
      </c>
      <c r="N19" t="inlineStr">
        <is>
          <t>Aberto</t>
        </is>
      </c>
    </row>
    <row r="20">
      <c r="B20" t="n">
        <v>33</v>
      </c>
      <c r="C20" s="38" t="n">
        <v>46057</v>
      </c>
      <c r="D20" s="39" t="n">
        <v>0.6354166666666666</v>
      </c>
      <c r="E20" t="inlineStr">
        <is>
          <t>Maria Oliveira</t>
        </is>
      </c>
      <c r="F20" t="inlineStr">
        <is>
          <t>F-302</t>
        </is>
      </c>
      <c r="G20" t="inlineStr">
        <is>
          <t>Falha</t>
        </is>
      </c>
      <c r="H20" t="inlineStr">
        <is>
          <t>Termica</t>
        </is>
      </c>
      <c r="I20" t="inlineStr">
        <is>
          <t>Queimador</t>
        </is>
      </c>
      <c r="J20" t="inlineStr">
        <is>
          <t>Baixa</t>
        </is>
      </c>
      <c r="K20" s="40" t="n">
        <v>10.9</v>
      </c>
      <c r="L20" s="41" t="n">
        <v>68125</v>
      </c>
      <c r="M20" t="inlineStr">
        <is>
          <t>Evento 033 registrado pelo turno</t>
        </is>
      </c>
      <c r="N20" t="inlineStr">
        <is>
          <t>Resolvido</t>
        </is>
      </c>
    </row>
    <row r="21">
      <c r="B21" t="n">
        <v>58</v>
      </c>
      <c r="C21" s="38" t="n">
        <v>46058</v>
      </c>
      <c r="D21" s="39" t="n">
        <v>0.8125</v>
      </c>
      <c r="E21" t="inlineStr">
        <is>
          <t>Ana Costa</t>
        </is>
      </c>
      <c r="F21" t="inlineStr">
        <is>
          <t>F-101</t>
        </is>
      </c>
      <c r="G21" t="inlineStr">
        <is>
          <t>Parada Programada</t>
        </is>
      </c>
      <c r="H21" t="inlineStr">
        <is>
          <t>Operacional</t>
        </is>
      </c>
      <c r="I21" t="inlineStr">
        <is>
          <t>Tubulacao</t>
        </is>
      </c>
      <c r="J21" t="inlineStr">
        <is>
          <t>Media</t>
        </is>
      </c>
      <c r="K21" s="40" t="n">
        <v>6.7</v>
      </c>
      <c r="L21" s="41" t="n">
        <v>83750</v>
      </c>
      <c r="M21" t="inlineStr">
        <is>
          <t>Evento 058 registrado pelo turno</t>
        </is>
      </c>
      <c r="N21" t="inlineStr">
        <is>
          <t>Resolvido</t>
        </is>
      </c>
    </row>
    <row r="22">
      <c r="B22" t="n">
        <v>45</v>
      </c>
      <c r="C22" s="38" t="n">
        <v>46061</v>
      </c>
      <c r="D22" s="39" t="n">
        <v>0.6354166666666666</v>
      </c>
      <c r="E22" t="inlineStr">
        <is>
          <t>Maria Oliveira</t>
        </is>
      </c>
      <c r="F22" t="inlineStr">
        <is>
          <t>F-202</t>
        </is>
      </c>
      <c r="G22" t="inlineStr">
        <is>
          <t>Troca de Componente</t>
        </is>
      </c>
      <c r="H22" t="inlineStr">
        <is>
          <t>Refratario</t>
        </is>
      </c>
      <c r="I22" t="inlineStr">
        <is>
          <t>Ventilador de Exaustao</t>
        </is>
      </c>
      <c r="J22" t="inlineStr">
        <is>
          <t>Media</t>
        </is>
      </c>
      <c r="K22" s="40" t="n">
        <v>0.6</v>
      </c>
      <c r="L22" s="41" t="n">
        <v>7500</v>
      </c>
      <c r="M22" t="inlineStr">
        <is>
          <t>Evento 045 registrado pelo turno</t>
        </is>
      </c>
      <c r="N22" t="inlineStr">
        <is>
          <t>Em analise</t>
        </is>
      </c>
    </row>
    <row r="23">
      <c r="B23" t="n">
        <v>53</v>
      </c>
      <c r="C23" s="38" t="n">
        <v>46065</v>
      </c>
      <c r="D23" s="39" t="n">
        <v>0.9895833333333334</v>
      </c>
      <c r="E23" t="inlineStr">
        <is>
          <t>Pedro Almeida</t>
        </is>
      </c>
      <c r="F23" t="inlineStr">
        <is>
          <t>F-202</t>
        </is>
      </c>
      <c r="G23" t="inlineStr">
        <is>
          <t>Falha</t>
        </is>
      </c>
      <c r="H23" t="inlineStr">
        <is>
          <t>Refratario</t>
        </is>
      </c>
      <c r="I23" t="inlineStr">
        <is>
          <t>Damper</t>
        </is>
      </c>
      <c r="J23" t="inlineStr">
        <is>
          <t>Critica</t>
        </is>
      </c>
      <c r="K23" s="40" t="n">
        <v>0.7</v>
      </c>
      <c r="L23" s="41" t="n">
        <v>35000</v>
      </c>
      <c r="M23" t="inlineStr">
        <is>
          <t>Evento 053 registrado pelo turno</t>
        </is>
      </c>
      <c r="N23" t="inlineStr">
        <is>
          <t>Aberto</t>
        </is>
      </c>
    </row>
    <row r="24">
      <c r="B24" t="n">
        <v>19</v>
      </c>
      <c r="C24" s="38" t="n">
        <v>46066</v>
      </c>
      <c r="D24" s="39" t="n">
        <v>0.2604166666666667</v>
      </c>
      <c r="E24" t="inlineStr">
        <is>
          <t>Lucia Ferreira</t>
        </is>
      </c>
      <c r="F24" t="inlineStr">
        <is>
          <t>F-301</t>
        </is>
      </c>
      <c r="G24" t="inlineStr">
        <is>
          <t>Falha</t>
        </is>
      </c>
      <c r="H24" t="inlineStr">
        <is>
          <t>Instrumentacao</t>
        </is>
      </c>
      <c r="I24" t="inlineStr">
        <is>
          <t>Bujao Refratario</t>
        </is>
      </c>
      <c r="J24" t="inlineStr">
        <is>
          <t>Baixa</t>
        </is>
      </c>
      <c r="K24" s="40" t="n">
        <v>1.3</v>
      </c>
      <c r="L24" s="41" t="n">
        <v>8125</v>
      </c>
      <c r="M24" t="inlineStr">
        <is>
          <t>Evento 019 registrado pelo turno</t>
        </is>
      </c>
      <c r="N24" t="inlineStr">
        <is>
          <t>Resolvido</t>
        </is>
      </c>
    </row>
    <row r="25">
      <c r="B25" t="n">
        <v>39</v>
      </c>
      <c r="C25" s="38" t="n">
        <v>46067</v>
      </c>
      <c r="D25" s="39" t="n">
        <v>0.6354166666666666</v>
      </c>
      <c r="E25" t="inlineStr">
        <is>
          <t>Joao Santos</t>
        </is>
      </c>
      <c r="F25" t="inlineStr">
        <is>
          <t>F-102</t>
        </is>
      </c>
      <c r="G25" t="inlineStr">
        <is>
          <t>Falha</t>
        </is>
      </c>
      <c r="H25" t="inlineStr">
        <is>
          <t>Refratario</t>
        </is>
      </c>
      <c r="I25" t="inlineStr">
        <is>
          <t>Manta Isolante</t>
        </is>
      </c>
      <c r="J25" t="inlineStr">
        <is>
          <t>Baixa</t>
        </is>
      </c>
      <c r="K25" s="40" t="n">
        <v>1.3</v>
      </c>
      <c r="L25" s="41" t="n">
        <v>8125</v>
      </c>
      <c r="M25" t="inlineStr">
        <is>
          <t>Evento 039 registrado pelo turno</t>
        </is>
      </c>
      <c r="N25" t="inlineStr">
        <is>
          <t>Resolvido</t>
        </is>
      </c>
    </row>
    <row r="26">
      <c r="B26" t="n">
        <v>40</v>
      </c>
      <c r="C26" s="38" t="n">
        <v>46068</v>
      </c>
      <c r="D26" s="39" t="n">
        <v>0.1145833333333333</v>
      </c>
      <c r="E26" t="inlineStr">
        <is>
          <t>Carlos Silva</t>
        </is>
      </c>
      <c r="F26" t="inlineStr">
        <is>
          <t>F-302</t>
        </is>
      </c>
      <c r="G26" t="inlineStr">
        <is>
          <t>Calibracao</t>
        </is>
      </c>
      <c r="H26" t="inlineStr">
        <is>
          <t>Mecanica</t>
        </is>
      </c>
      <c r="I26" t="inlineStr">
        <is>
          <t>Ventilador de Exaustao</t>
        </is>
      </c>
      <c r="J26" t="inlineStr">
        <is>
          <t>Alta</t>
        </is>
      </c>
      <c r="K26" s="40" t="n">
        <v>0.7</v>
      </c>
      <c r="L26" s="41" t="n">
        <v>17500</v>
      </c>
      <c r="M26" t="inlineStr">
        <is>
          <t>Evento 040 registrado pelo turno</t>
        </is>
      </c>
      <c r="N26" t="inlineStr">
        <is>
          <t>Aberto</t>
        </is>
      </c>
    </row>
    <row r="27">
      <c r="B27" t="n">
        <v>7</v>
      </c>
      <c r="C27" s="38" t="n">
        <v>46068</v>
      </c>
      <c r="D27" s="39" t="n">
        <v>0.5208333333333334</v>
      </c>
      <c r="E27" t="inlineStr">
        <is>
          <t>Lucia Ferreira</t>
        </is>
      </c>
      <c r="F27" t="inlineStr">
        <is>
          <t>F-302</t>
        </is>
      </c>
      <c r="G27" t="inlineStr">
        <is>
          <t>Limpeza</t>
        </is>
      </c>
      <c r="H27" t="inlineStr">
        <is>
          <t>Termica</t>
        </is>
      </c>
      <c r="I27" t="inlineStr">
        <is>
          <t>Bujao Refratario</t>
        </is>
      </c>
      <c r="J27" t="inlineStr">
        <is>
          <t>Baixa</t>
        </is>
      </c>
      <c r="K27" s="40" t="n">
        <v>1.5</v>
      </c>
      <c r="L27" s="41" t="n">
        <v>9375</v>
      </c>
      <c r="M27" t="inlineStr">
        <is>
          <t>Evento 007 registrado pelo turno</t>
        </is>
      </c>
      <c r="N27" t="inlineStr">
        <is>
          <t>Resolvido</t>
        </is>
      </c>
    </row>
    <row r="28">
      <c r="B28" t="n">
        <v>37</v>
      </c>
      <c r="C28" s="38" t="n">
        <v>46068</v>
      </c>
      <c r="D28" s="39" t="n">
        <v>0.9895833333333334</v>
      </c>
      <c r="E28" t="inlineStr">
        <is>
          <t>Ana Costa</t>
        </is>
      </c>
      <c r="F28" t="inlineStr">
        <is>
          <t>F-301</t>
        </is>
      </c>
      <c r="G28" t="inlineStr">
        <is>
          <t>Troca de Componente</t>
        </is>
      </c>
      <c r="H28" t="inlineStr">
        <is>
          <t>Eletrica</t>
        </is>
      </c>
      <c r="I28" t="inlineStr">
        <is>
          <t>Manta Isolante</t>
        </is>
      </c>
      <c r="J28" t="inlineStr">
        <is>
          <t>Alta</t>
        </is>
      </c>
      <c r="K28" s="40" t="n">
        <v>0.2</v>
      </c>
      <c r="L28" s="41" t="n">
        <v>5000</v>
      </c>
      <c r="M28" t="inlineStr">
        <is>
          <t>Evento 037 registrado pelo turno</t>
        </is>
      </c>
      <c r="N28" t="inlineStr">
        <is>
          <t>Resolvido</t>
        </is>
      </c>
    </row>
    <row r="29">
      <c r="B29" t="n">
        <v>54</v>
      </c>
      <c r="C29" s="38" t="n">
        <v>46071</v>
      </c>
      <c r="D29" s="39" t="n">
        <v>0.875</v>
      </c>
      <c r="E29" t="inlineStr">
        <is>
          <t>Pedro Almeida</t>
        </is>
      </c>
      <c r="F29" t="inlineStr">
        <is>
          <t>F-201</t>
        </is>
      </c>
      <c r="G29" t="inlineStr">
        <is>
          <t>Falha</t>
        </is>
      </c>
      <c r="H29" t="inlineStr">
        <is>
          <t>Refratario</t>
        </is>
      </c>
      <c r="I29" t="inlineStr">
        <is>
          <t>Damper</t>
        </is>
      </c>
      <c r="J29" t="inlineStr">
        <is>
          <t>Media</t>
        </is>
      </c>
      <c r="K29" s="40" t="n">
        <v>6.8</v>
      </c>
      <c r="L29" s="41" t="n">
        <v>85000</v>
      </c>
      <c r="M29" t="inlineStr">
        <is>
          <t>Evento 054 registrado pelo turno</t>
        </is>
      </c>
      <c r="N29" t="inlineStr">
        <is>
          <t>Aberto</t>
        </is>
      </c>
    </row>
    <row r="30">
      <c r="B30" t="n">
        <v>3</v>
      </c>
      <c r="C30" s="38" t="n">
        <v>46076</v>
      </c>
      <c r="D30" s="39" t="n">
        <v>0.5729166666666666</v>
      </c>
      <c r="E30" t="inlineStr">
        <is>
          <t>Lucia Ferreira</t>
        </is>
      </c>
      <c r="F30" t="inlineStr">
        <is>
          <t>F-301</t>
        </is>
      </c>
      <c r="G30" t="inlineStr">
        <is>
          <t>Falha</t>
        </is>
      </c>
      <c r="H30" t="inlineStr">
        <is>
          <t>Eletrica</t>
        </is>
      </c>
      <c r="I30" t="inlineStr">
        <is>
          <t>Tubulacao</t>
        </is>
      </c>
      <c r="J30" t="inlineStr">
        <is>
          <t>Media</t>
        </is>
      </c>
      <c r="K30" s="40" t="n">
        <v>3.7</v>
      </c>
      <c r="L30" s="41" t="n">
        <v>46250</v>
      </c>
      <c r="M30" t="inlineStr">
        <is>
          <t>Evento 003 registrado pelo turno</t>
        </is>
      </c>
      <c r="N30" t="inlineStr">
        <is>
          <t>Resolvido</t>
        </is>
      </c>
    </row>
    <row r="31">
      <c r="B31" t="n">
        <v>24</v>
      </c>
      <c r="C31" s="38" t="n">
        <v>46079</v>
      </c>
      <c r="D31" s="39" t="n">
        <v>0.9583333333333334</v>
      </c>
      <c r="E31" t="inlineStr">
        <is>
          <t>Ana Costa</t>
        </is>
      </c>
      <c r="F31" t="inlineStr">
        <is>
          <t>F-101</t>
        </is>
      </c>
      <c r="G31" t="inlineStr">
        <is>
          <t>Inspecao</t>
        </is>
      </c>
      <c r="H31" t="inlineStr">
        <is>
          <t>Mecanica</t>
        </is>
      </c>
      <c r="I31" t="inlineStr">
        <is>
          <t>Tubulacao</t>
        </is>
      </c>
      <c r="J31" t="inlineStr">
        <is>
          <t>Baixa</t>
        </is>
      </c>
      <c r="K31" s="40" t="n">
        <v>1.1</v>
      </c>
      <c r="L31" s="41" t="n">
        <v>6875</v>
      </c>
      <c r="M31" t="inlineStr">
        <is>
          <t>Evento 024 registrado pelo turno</t>
        </is>
      </c>
      <c r="N31" t="inlineStr">
        <is>
          <t>Resolvido</t>
        </is>
      </c>
    </row>
    <row r="32">
      <c r="B32" t="n">
        <v>30</v>
      </c>
      <c r="C32" s="38" t="n">
        <v>46081</v>
      </c>
      <c r="D32" s="39" t="n">
        <v>0.6666666666666666</v>
      </c>
      <c r="E32" t="inlineStr">
        <is>
          <t>Pedro Almeida</t>
        </is>
      </c>
      <c r="F32" t="inlineStr">
        <is>
          <t>F-101</t>
        </is>
      </c>
      <c r="G32" t="inlineStr">
        <is>
          <t>Parada Programada</t>
        </is>
      </c>
      <c r="H32" t="inlineStr">
        <is>
          <t>Mecanica</t>
        </is>
      </c>
      <c r="I32" t="inlineStr">
        <is>
          <t>Bujao Refratario</t>
        </is>
      </c>
      <c r="J32" t="inlineStr">
        <is>
          <t>Baixa</t>
        </is>
      </c>
      <c r="K32" s="40" t="n">
        <v>3.6</v>
      </c>
      <c r="L32" s="41" t="n">
        <v>22500</v>
      </c>
      <c r="M32" t="inlineStr">
        <is>
          <t>Evento 030 registrado pelo turno</t>
        </is>
      </c>
      <c r="N32" t="inlineStr">
        <is>
          <t>Resolvido</t>
        </is>
      </c>
    </row>
    <row r="33">
      <c r="B33" t="n">
        <v>49</v>
      </c>
      <c r="C33" s="38" t="n">
        <v>46082</v>
      </c>
      <c r="D33" s="39" t="n">
        <v>0.3020833333333333</v>
      </c>
      <c r="E33" t="inlineStr">
        <is>
          <t>Pedro Almeida</t>
        </is>
      </c>
      <c r="F33" t="inlineStr">
        <is>
          <t>F-101</t>
        </is>
      </c>
      <c r="G33" t="inlineStr">
        <is>
          <t>Parada Programada</t>
        </is>
      </c>
      <c r="H33" t="inlineStr">
        <is>
          <t>Instrumentacao</t>
        </is>
      </c>
      <c r="I33" t="inlineStr">
        <is>
          <t>Sensor de Temperatura</t>
        </is>
      </c>
      <c r="J33" t="inlineStr">
        <is>
          <t>Critica</t>
        </is>
      </c>
      <c r="K33" s="40" t="n">
        <v>5.6</v>
      </c>
      <c r="L33" s="41" t="n">
        <v>280000</v>
      </c>
      <c r="M33" t="inlineStr">
        <is>
          <t>Evento 049 registrado pelo turno</t>
        </is>
      </c>
      <c r="N33" t="inlineStr">
        <is>
          <t>Em analise</t>
        </is>
      </c>
    </row>
    <row r="34">
      <c r="B34" t="n">
        <v>8</v>
      </c>
      <c r="C34" s="38" t="n">
        <v>46082</v>
      </c>
      <c r="D34" s="39" t="n">
        <v>0.7708333333333334</v>
      </c>
      <c r="E34" t="inlineStr">
        <is>
          <t>Joao Santos</t>
        </is>
      </c>
      <c r="F34" t="inlineStr">
        <is>
          <t>F-302</t>
        </is>
      </c>
      <c r="G34" t="inlineStr">
        <is>
          <t>Inspecao</t>
        </is>
      </c>
      <c r="H34" t="inlineStr">
        <is>
          <t>Instrumentacao</t>
        </is>
      </c>
      <c r="I34" t="inlineStr">
        <is>
          <t>Manta Isolante</t>
        </is>
      </c>
      <c r="J34" t="inlineStr">
        <is>
          <t>Alta</t>
        </is>
      </c>
      <c r="K34" s="40" t="n">
        <v>1.6</v>
      </c>
      <c r="L34" s="41" t="n">
        <v>40000</v>
      </c>
      <c r="M34" t="inlineStr">
        <is>
          <t>Evento 008 registrado pelo turno</t>
        </is>
      </c>
      <c r="N34" t="inlineStr">
        <is>
          <t>Resolvido</t>
        </is>
      </c>
    </row>
    <row r="35">
      <c r="B35" t="n">
        <v>60</v>
      </c>
      <c r="C35" s="38" t="n">
        <v>46083</v>
      </c>
      <c r="D35" s="39" t="n">
        <v>0.1875</v>
      </c>
      <c r="E35" t="inlineStr">
        <is>
          <t>Joao Santos</t>
        </is>
      </c>
      <c r="F35" t="inlineStr">
        <is>
          <t>F-201</t>
        </is>
      </c>
      <c r="G35" t="inlineStr">
        <is>
          <t>Falha</t>
        </is>
      </c>
      <c r="H35" t="inlineStr">
        <is>
          <t>Eletrica</t>
        </is>
      </c>
      <c r="I35" t="inlineStr">
        <is>
          <t>Bujao Refratario</t>
        </is>
      </c>
      <c r="J35" t="inlineStr">
        <is>
          <t>Baixa</t>
        </is>
      </c>
      <c r="K35" s="40" t="n">
        <v>0.8</v>
      </c>
      <c r="L35" s="41" t="n">
        <v>5000</v>
      </c>
      <c r="M35" t="inlineStr">
        <is>
          <t>Evento 060 registrado pelo turno</t>
        </is>
      </c>
      <c r="N35" t="inlineStr">
        <is>
          <t>Resolvido</t>
        </is>
      </c>
    </row>
    <row r="36">
      <c r="B36" t="n">
        <v>22</v>
      </c>
      <c r="C36" s="38" t="n">
        <v>46083</v>
      </c>
      <c r="D36" s="39" t="n">
        <v>0.2083333333333333</v>
      </c>
      <c r="E36" t="inlineStr">
        <is>
          <t>Maria Oliveira</t>
        </is>
      </c>
      <c r="F36" t="inlineStr">
        <is>
          <t>F-302</t>
        </is>
      </c>
      <c r="G36" t="inlineStr">
        <is>
          <t>Inspecao</t>
        </is>
      </c>
      <c r="H36" t="inlineStr">
        <is>
          <t>Mecanica</t>
        </is>
      </c>
      <c r="I36" t="inlineStr">
        <is>
          <t>Bujao Refratario</t>
        </is>
      </c>
      <c r="J36" t="inlineStr">
        <is>
          <t>Media</t>
        </is>
      </c>
      <c r="K36" s="40" t="n">
        <v>1.6</v>
      </c>
      <c r="L36" s="41" t="n">
        <v>20000</v>
      </c>
      <c r="M36" t="inlineStr">
        <is>
          <t>Evento 022 registrado pelo turno</t>
        </is>
      </c>
      <c r="N36" t="inlineStr">
        <is>
          <t>Resolvido</t>
        </is>
      </c>
    </row>
    <row r="37">
      <c r="B37" t="n">
        <v>48</v>
      </c>
      <c r="C37" s="38" t="n">
        <v>46086</v>
      </c>
      <c r="D37" s="39" t="n">
        <v>0.7604166666666666</v>
      </c>
      <c r="E37" t="inlineStr">
        <is>
          <t>Maria Oliveira</t>
        </is>
      </c>
      <c r="F37" t="inlineStr">
        <is>
          <t>F-102</t>
        </is>
      </c>
      <c r="G37" t="inlineStr">
        <is>
          <t>Inspecao</t>
        </is>
      </c>
      <c r="H37" t="inlineStr">
        <is>
          <t>Mecanica</t>
        </is>
      </c>
      <c r="I37" t="inlineStr">
        <is>
          <t>Tubulacao</t>
        </is>
      </c>
      <c r="J37" t="inlineStr">
        <is>
          <t>Baixa</t>
        </is>
      </c>
      <c r="K37" s="40" t="n">
        <v>1.6</v>
      </c>
      <c r="L37" s="41" t="n">
        <v>10000</v>
      </c>
      <c r="M37" t="inlineStr">
        <is>
          <t>Evento 048 registrado pelo turno</t>
        </is>
      </c>
      <c r="N37" t="inlineStr">
        <is>
          <t>Aberto</t>
        </is>
      </c>
    </row>
    <row r="38">
      <c r="B38" t="n">
        <v>5</v>
      </c>
      <c r="C38" s="38" t="n">
        <v>46091</v>
      </c>
      <c r="D38" s="39" t="n">
        <v>0.40625</v>
      </c>
      <c r="E38" t="inlineStr">
        <is>
          <t>Ana Costa</t>
        </is>
      </c>
      <c r="F38" t="inlineStr">
        <is>
          <t>F-101</t>
        </is>
      </c>
      <c r="G38" t="inlineStr">
        <is>
          <t>Inspecao</t>
        </is>
      </c>
      <c r="H38" t="inlineStr">
        <is>
          <t>Termica</t>
        </is>
      </c>
      <c r="I38" t="inlineStr">
        <is>
          <t>Ventilador de Exaustao</t>
        </is>
      </c>
      <c r="J38" t="inlineStr">
        <is>
          <t>Media</t>
        </is>
      </c>
      <c r="K38" s="40" t="n">
        <v>0.3</v>
      </c>
      <c r="L38" s="41" t="n">
        <v>3750</v>
      </c>
      <c r="M38" t="inlineStr">
        <is>
          <t>Evento 005 registrado pelo turno</t>
        </is>
      </c>
      <c r="N38" t="inlineStr">
        <is>
          <t>Resolvido</t>
        </is>
      </c>
    </row>
    <row r="39">
      <c r="B39" t="n">
        <v>13</v>
      </c>
      <c r="C39" s="38" t="n">
        <v>46093</v>
      </c>
      <c r="D39" s="39" t="n">
        <v>0.25</v>
      </c>
      <c r="E39" t="inlineStr">
        <is>
          <t>Joao Santos</t>
        </is>
      </c>
      <c r="F39" t="inlineStr">
        <is>
          <t>F-302</t>
        </is>
      </c>
      <c r="G39" t="inlineStr">
        <is>
          <t>Limpeza</t>
        </is>
      </c>
      <c r="H39" t="inlineStr">
        <is>
          <t>Instrumentacao</t>
        </is>
      </c>
      <c r="I39" t="inlineStr">
        <is>
          <t>Queimador</t>
        </is>
      </c>
      <c r="J39" t="inlineStr">
        <is>
          <t>Baixa</t>
        </is>
      </c>
      <c r="K39" s="40" t="n">
        <v>1</v>
      </c>
      <c r="L39" s="41" t="n">
        <v>6250</v>
      </c>
      <c r="M39" t="inlineStr">
        <is>
          <t>Evento 013 registrado pelo turno</t>
        </is>
      </c>
      <c r="N39" t="inlineStr">
        <is>
          <t>Em analise</t>
        </is>
      </c>
    </row>
    <row r="40">
      <c r="B40" t="n">
        <v>36</v>
      </c>
      <c r="C40" s="38" t="n">
        <v>46093</v>
      </c>
      <c r="D40" s="39" t="n">
        <v>0.4479166666666667</v>
      </c>
      <c r="E40" t="inlineStr">
        <is>
          <t>Joao Santos</t>
        </is>
      </c>
      <c r="F40" t="inlineStr">
        <is>
          <t>F-102</t>
        </is>
      </c>
      <c r="G40" t="inlineStr">
        <is>
          <t>Falha</t>
        </is>
      </c>
      <c r="H40" t="inlineStr">
        <is>
          <t>Mecanica</t>
        </is>
      </c>
      <c r="I40" t="inlineStr">
        <is>
          <t>Ventilador de Exaustao</t>
        </is>
      </c>
      <c r="J40" t="inlineStr">
        <is>
          <t>Baixa</t>
        </is>
      </c>
      <c r="K40" s="40" t="n">
        <v>3.4</v>
      </c>
      <c r="L40" s="41" t="n">
        <v>21250</v>
      </c>
      <c r="M40" t="inlineStr">
        <is>
          <t>Evento 036 registrado pelo turno</t>
        </is>
      </c>
      <c r="N40" t="inlineStr">
        <is>
          <t>Resolvido</t>
        </is>
      </c>
    </row>
    <row r="41">
      <c r="B41" t="n">
        <v>35</v>
      </c>
      <c r="C41" s="38" t="n">
        <v>46094</v>
      </c>
      <c r="D41" s="39" t="n">
        <v>0.1979166666666667</v>
      </c>
      <c r="E41" t="inlineStr">
        <is>
          <t>Ana Costa</t>
        </is>
      </c>
      <c r="F41" t="inlineStr">
        <is>
          <t>F-301</t>
        </is>
      </c>
      <c r="G41" t="inlineStr">
        <is>
          <t>Falha</t>
        </is>
      </c>
      <c r="H41" t="inlineStr">
        <is>
          <t>Instrumentacao</t>
        </is>
      </c>
      <c r="I41" t="inlineStr">
        <is>
          <t>Bujao Refratario</t>
        </is>
      </c>
      <c r="J41" t="inlineStr">
        <is>
          <t>Media</t>
        </is>
      </c>
      <c r="K41" s="40" t="n">
        <v>10.1</v>
      </c>
      <c r="L41" s="41" t="n">
        <v>126250</v>
      </c>
      <c r="M41" t="inlineStr">
        <is>
          <t>Evento 035 registrado pelo turno</t>
        </is>
      </c>
      <c r="N41" t="inlineStr">
        <is>
          <t>Aberto</t>
        </is>
      </c>
    </row>
    <row r="42">
      <c r="B42" t="n">
        <v>29</v>
      </c>
      <c r="C42" s="38" t="n">
        <v>46095</v>
      </c>
      <c r="D42" s="39" t="n">
        <v>0.9375</v>
      </c>
      <c r="E42" t="inlineStr">
        <is>
          <t>Joao Santos</t>
        </is>
      </c>
      <c r="F42" t="inlineStr">
        <is>
          <t>F-201</t>
        </is>
      </c>
      <c r="G42" t="inlineStr">
        <is>
          <t>Falha</t>
        </is>
      </c>
      <c r="H42" t="inlineStr">
        <is>
          <t>Eletrica</t>
        </is>
      </c>
      <c r="I42" t="inlineStr">
        <is>
          <t>Ventilador de Exaustao</t>
        </is>
      </c>
      <c r="J42" t="inlineStr">
        <is>
          <t>Baixa</t>
        </is>
      </c>
      <c r="K42" s="40" t="n">
        <v>8.199999999999999</v>
      </c>
      <c r="L42" s="41" t="n">
        <v>51250</v>
      </c>
      <c r="M42" t="inlineStr">
        <is>
          <t>Evento 029 registrado pelo turno</t>
        </is>
      </c>
      <c r="N42" t="inlineStr">
        <is>
          <t>Resolvido</t>
        </is>
      </c>
    </row>
    <row r="43">
      <c r="B43" t="n">
        <v>21</v>
      </c>
      <c r="C43" s="38" t="n">
        <v>46096</v>
      </c>
      <c r="D43" s="39" t="n">
        <v>0.8854166666666666</v>
      </c>
      <c r="E43" t="inlineStr">
        <is>
          <t>Carlos Silva</t>
        </is>
      </c>
      <c r="F43" t="inlineStr">
        <is>
          <t>F-202</t>
        </is>
      </c>
      <c r="G43" t="inlineStr">
        <is>
          <t>Reparo</t>
        </is>
      </c>
      <c r="H43" t="inlineStr">
        <is>
          <t>Mecanica</t>
        </is>
      </c>
      <c r="I43" t="inlineStr">
        <is>
          <t>Manta Isolante</t>
        </is>
      </c>
      <c r="J43" t="inlineStr">
        <is>
          <t>Media</t>
        </is>
      </c>
      <c r="K43" s="40" t="n">
        <v>4.6</v>
      </c>
      <c r="L43" s="41" t="n">
        <v>57500</v>
      </c>
      <c r="M43" t="inlineStr">
        <is>
          <t>Evento 021 registrado pelo turno</t>
        </is>
      </c>
      <c r="N43" t="inlineStr">
        <is>
          <t>Em analise</t>
        </is>
      </c>
    </row>
    <row r="44">
      <c r="B44" t="n">
        <v>50</v>
      </c>
      <c r="C44" s="38" t="n">
        <v>46102</v>
      </c>
      <c r="D44" s="39" t="n">
        <v>0.2395833333333333</v>
      </c>
      <c r="E44" t="inlineStr">
        <is>
          <t>Maria Oliveira</t>
        </is>
      </c>
      <c r="F44" t="inlineStr">
        <is>
          <t>F-301</t>
        </is>
      </c>
      <c r="G44" t="inlineStr">
        <is>
          <t>Parada Programada</t>
        </is>
      </c>
      <c r="H44" t="inlineStr">
        <is>
          <t>Instrumentacao</t>
        </is>
      </c>
      <c r="I44" t="inlineStr">
        <is>
          <t>Marmita</t>
        </is>
      </c>
      <c r="J44" t="inlineStr">
        <is>
          <t>Media</t>
        </is>
      </c>
      <c r="K44" s="40" t="n">
        <v>6.5</v>
      </c>
      <c r="L44" s="41" t="n">
        <v>81250</v>
      </c>
      <c r="M44" t="inlineStr">
        <is>
          <t>Evento 050 registrado pelo turno</t>
        </is>
      </c>
      <c r="N44" t="inlineStr">
        <is>
          <t>Resolvido</t>
        </is>
      </c>
    </row>
    <row r="45">
      <c r="B45" t="n">
        <v>43</v>
      </c>
      <c r="C45" s="38" t="n">
        <v>46102</v>
      </c>
      <c r="D45" s="39" t="n">
        <v>0.6666666666666666</v>
      </c>
      <c r="E45" t="inlineStr">
        <is>
          <t>Maria Oliveira</t>
        </is>
      </c>
      <c r="F45" t="inlineStr">
        <is>
          <t>F-302</t>
        </is>
      </c>
      <c r="G45" t="inlineStr">
        <is>
          <t>Limpeza</t>
        </is>
      </c>
      <c r="H45" t="inlineStr">
        <is>
          <t>Instrumentacao</t>
        </is>
      </c>
      <c r="I45" t="inlineStr">
        <is>
          <t>Queimador</t>
        </is>
      </c>
      <c r="J45" t="inlineStr">
        <is>
          <t>Baixa</t>
        </is>
      </c>
      <c r="K45" s="40" t="n">
        <v>1.5</v>
      </c>
      <c r="L45" s="41" t="n">
        <v>9375</v>
      </c>
      <c r="M45" t="inlineStr">
        <is>
          <t>Evento 043 registrado pelo turno</t>
        </is>
      </c>
      <c r="N45" t="inlineStr">
        <is>
          <t>Aberto</t>
        </is>
      </c>
    </row>
    <row r="46">
      <c r="B46" t="n">
        <v>1</v>
      </c>
      <c r="C46" s="38" t="n">
        <v>46104</v>
      </c>
      <c r="D46" s="39" t="n">
        <v>0.375</v>
      </c>
      <c r="E46" t="inlineStr">
        <is>
          <t>Lucia Ferreira</t>
        </is>
      </c>
      <c r="F46" t="inlineStr">
        <is>
          <t>F-302</t>
        </is>
      </c>
      <c r="G46" t="inlineStr">
        <is>
          <t>Falha</t>
        </is>
      </c>
      <c r="H46" t="inlineStr">
        <is>
          <t>Eletrica</t>
        </is>
      </c>
      <c r="I46" t="inlineStr">
        <is>
          <t>Manta Isolante</t>
        </is>
      </c>
      <c r="J46" t="inlineStr">
        <is>
          <t>Baixa</t>
        </is>
      </c>
      <c r="K46" s="40" t="n">
        <v>9</v>
      </c>
      <c r="L46" s="41" t="n">
        <v>56250</v>
      </c>
      <c r="M46" t="inlineStr">
        <is>
          <t>Evento 001 registrado pelo turno</t>
        </is>
      </c>
      <c r="N46" t="inlineStr">
        <is>
          <t>Aberto</t>
        </is>
      </c>
    </row>
    <row r="47">
      <c r="B47" t="n">
        <v>26</v>
      </c>
      <c r="C47" s="38" t="n">
        <v>46108</v>
      </c>
      <c r="D47" s="39" t="n">
        <v>0.1979166666666667</v>
      </c>
      <c r="E47" t="inlineStr">
        <is>
          <t>Pedro Almeida</t>
        </is>
      </c>
      <c r="F47" t="inlineStr">
        <is>
          <t>F-102</t>
        </is>
      </c>
      <c r="G47" t="inlineStr">
        <is>
          <t>Falha</t>
        </is>
      </c>
      <c r="H47" t="inlineStr">
        <is>
          <t>Mecanica</t>
        </is>
      </c>
      <c r="I47" t="inlineStr">
        <is>
          <t>Manta Isolante</t>
        </is>
      </c>
      <c r="J47" t="inlineStr">
        <is>
          <t>Media</t>
        </is>
      </c>
      <c r="K47" s="40" t="n">
        <v>1.2</v>
      </c>
      <c r="L47" s="41" t="n">
        <v>15000</v>
      </c>
      <c r="M47" t="inlineStr">
        <is>
          <t>Evento 026 registrado pelo turno</t>
        </is>
      </c>
      <c r="N47" t="inlineStr">
        <is>
          <t>Resolvido</t>
        </is>
      </c>
    </row>
    <row r="48">
      <c r="B48" t="n">
        <v>56</v>
      </c>
      <c r="C48" s="38" t="n">
        <v>46115</v>
      </c>
      <c r="D48" s="39" t="n">
        <v>0.4895833333333333</v>
      </c>
      <c r="E48" t="inlineStr">
        <is>
          <t>Pedro Almeida</t>
        </is>
      </c>
      <c r="F48" t="inlineStr">
        <is>
          <t>F-102</t>
        </is>
      </c>
      <c r="G48" t="inlineStr">
        <is>
          <t>Calibracao</t>
        </is>
      </c>
      <c r="H48" t="inlineStr">
        <is>
          <t>Refratario</t>
        </is>
      </c>
      <c r="I48" t="inlineStr">
        <is>
          <t>Tubulacao</t>
        </is>
      </c>
      <c r="J48" t="inlineStr">
        <is>
          <t>Media</t>
        </is>
      </c>
      <c r="K48" s="40" t="n">
        <v>0.2</v>
      </c>
      <c r="L48" s="41" t="n">
        <v>2500</v>
      </c>
      <c r="M48" t="inlineStr">
        <is>
          <t>Evento 056 registrado pelo turno</t>
        </is>
      </c>
      <c r="N48" t="inlineStr">
        <is>
          <t>Em analise</t>
        </is>
      </c>
    </row>
    <row r="49">
      <c r="B49" t="n">
        <v>59</v>
      </c>
      <c r="C49" s="38" t="n">
        <v>46119</v>
      </c>
      <c r="D49" s="39" t="n">
        <v>0.2604166666666667</v>
      </c>
      <c r="E49" t="inlineStr">
        <is>
          <t>Ana Costa</t>
        </is>
      </c>
      <c r="F49" t="inlineStr">
        <is>
          <t>F-102</t>
        </is>
      </c>
      <c r="G49" t="inlineStr">
        <is>
          <t>Reparo</t>
        </is>
      </c>
      <c r="H49" t="inlineStr">
        <is>
          <t>Eletrica</t>
        </is>
      </c>
      <c r="I49" t="inlineStr">
        <is>
          <t>Marmita</t>
        </is>
      </c>
      <c r="J49" t="inlineStr">
        <is>
          <t>Media</t>
        </is>
      </c>
      <c r="K49" s="40" t="n">
        <v>1.8</v>
      </c>
      <c r="L49" s="41" t="n">
        <v>22500</v>
      </c>
      <c r="M49" t="inlineStr">
        <is>
          <t>Evento 059 registrado pelo turno</t>
        </is>
      </c>
      <c r="N49" t="inlineStr">
        <is>
          <t>Resolvido</t>
        </is>
      </c>
    </row>
    <row r="50">
      <c r="B50" t="n">
        <v>4</v>
      </c>
      <c r="C50" s="38" t="n">
        <v>46120</v>
      </c>
      <c r="D50" s="39" t="n">
        <v>0.6666666666666666</v>
      </c>
      <c r="E50" t="inlineStr">
        <is>
          <t>Pedro Almeida</t>
        </is>
      </c>
      <c r="F50" t="inlineStr">
        <is>
          <t>F-101</t>
        </is>
      </c>
      <c r="G50" t="inlineStr">
        <is>
          <t>Parada Programada</t>
        </is>
      </c>
      <c r="H50" t="inlineStr">
        <is>
          <t>Operacional</t>
        </is>
      </c>
      <c r="I50" t="inlineStr">
        <is>
          <t>Ventilador de Exaustao</t>
        </is>
      </c>
      <c r="J50" t="inlineStr">
        <is>
          <t>Baixa</t>
        </is>
      </c>
      <c r="K50" s="40" t="n">
        <v>2.3</v>
      </c>
      <c r="L50" s="41" t="n">
        <v>14375</v>
      </c>
      <c r="M50" t="inlineStr">
        <is>
          <t>Evento 004 registrado pelo turno</t>
        </is>
      </c>
      <c r="N50" t="inlineStr">
        <is>
          <t>Em analise</t>
        </is>
      </c>
    </row>
    <row r="51">
      <c r="B51" t="n">
        <v>17</v>
      </c>
      <c r="C51" s="38" t="n">
        <v>46121</v>
      </c>
      <c r="D51" s="39" t="n">
        <v>0.4270833333333333</v>
      </c>
      <c r="E51" t="inlineStr">
        <is>
          <t>Pedro Almeida</t>
        </is>
      </c>
      <c r="F51" t="inlineStr">
        <is>
          <t>F-302</t>
        </is>
      </c>
      <c r="G51" t="inlineStr">
        <is>
          <t>Parada Programada</t>
        </is>
      </c>
      <c r="H51" t="inlineStr">
        <is>
          <t>Operacional</t>
        </is>
      </c>
      <c r="I51" t="inlineStr">
        <is>
          <t>Marmita</t>
        </is>
      </c>
      <c r="J51" t="inlineStr">
        <is>
          <t>Alta</t>
        </is>
      </c>
      <c r="K51" s="40" t="n">
        <v>4.5</v>
      </c>
      <c r="L51" s="41" t="n">
        <v>112500</v>
      </c>
      <c r="M51" t="inlineStr">
        <is>
          <t>Evento 017 registrado pelo turno</t>
        </is>
      </c>
      <c r="N51" t="inlineStr">
        <is>
          <t>Resolvido</t>
        </is>
      </c>
    </row>
    <row r="52">
      <c r="B52" t="n">
        <v>6</v>
      </c>
      <c r="C52" s="38" t="n">
        <v>46121</v>
      </c>
      <c r="D52" s="39" t="n">
        <v>0.625</v>
      </c>
      <c r="E52" t="inlineStr">
        <is>
          <t>Maria Oliveira</t>
        </is>
      </c>
      <c r="F52" t="inlineStr">
        <is>
          <t>F-102</t>
        </is>
      </c>
      <c r="G52" t="inlineStr">
        <is>
          <t>Reparo</t>
        </is>
      </c>
      <c r="H52" t="inlineStr">
        <is>
          <t>Operacional</t>
        </is>
      </c>
      <c r="I52" t="inlineStr">
        <is>
          <t>Damper</t>
        </is>
      </c>
      <c r="J52" t="inlineStr">
        <is>
          <t>Media</t>
        </is>
      </c>
      <c r="K52" s="40" t="n">
        <v>4.7</v>
      </c>
      <c r="L52" s="41" t="n">
        <v>58750</v>
      </c>
      <c r="M52" t="inlineStr">
        <is>
          <t>Evento 006 registrado pelo turno</t>
        </is>
      </c>
      <c r="N52" t="inlineStr">
        <is>
          <t>Resolvido</t>
        </is>
      </c>
    </row>
    <row r="53">
      <c r="B53" t="n">
        <v>51</v>
      </c>
      <c r="C53" s="38" t="n">
        <v>46121</v>
      </c>
      <c r="D53" s="39" t="n">
        <v>0.9479166666666666</v>
      </c>
      <c r="E53" t="inlineStr">
        <is>
          <t>Lucia Ferreira</t>
        </is>
      </c>
      <c r="F53" t="inlineStr">
        <is>
          <t>F-302</t>
        </is>
      </c>
      <c r="G53" t="inlineStr">
        <is>
          <t>Falha</t>
        </is>
      </c>
      <c r="H53" t="inlineStr">
        <is>
          <t>Mecanica</t>
        </is>
      </c>
      <c r="I53" t="inlineStr">
        <is>
          <t>Sensor de Temperatura</t>
        </is>
      </c>
      <c r="J53" t="inlineStr">
        <is>
          <t>Baixa</t>
        </is>
      </c>
      <c r="K53" s="40" t="n">
        <v>3.6</v>
      </c>
      <c r="L53" s="41" t="n">
        <v>22500</v>
      </c>
      <c r="M53" t="inlineStr">
        <is>
          <t>Evento 051 registrado pelo turno</t>
        </is>
      </c>
      <c r="N53" t="inlineStr">
        <is>
          <t>Resolvido</t>
        </is>
      </c>
    </row>
    <row r="54">
      <c r="B54" t="n">
        <v>38</v>
      </c>
      <c r="C54" s="38" t="n">
        <v>46123</v>
      </c>
      <c r="D54" s="39" t="n">
        <v>0.8020833333333334</v>
      </c>
      <c r="E54" t="inlineStr">
        <is>
          <t>Carlos Silva</t>
        </is>
      </c>
      <c r="F54" t="inlineStr">
        <is>
          <t>F-201</t>
        </is>
      </c>
      <c r="G54" t="inlineStr">
        <is>
          <t>Falha</t>
        </is>
      </c>
      <c r="H54" t="inlineStr">
        <is>
          <t>Refratario</t>
        </is>
      </c>
      <c r="I54" t="inlineStr">
        <is>
          <t>Bujao Refratario</t>
        </is>
      </c>
      <c r="J54" t="inlineStr">
        <is>
          <t>Alta</t>
        </is>
      </c>
      <c r="K54" s="40" t="n">
        <v>3.1</v>
      </c>
      <c r="L54" s="41" t="n">
        <v>77500</v>
      </c>
      <c r="M54" t="inlineStr">
        <is>
          <t>Evento 038 registrado pelo turno</t>
        </is>
      </c>
      <c r="N54" t="inlineStr">
        <is>
          <t>Em analise</t>
        </is>
      </c>
    </row>
    <row r="55">
      <c r="B55" t="n">
        <v>46</v>
      </c>
      <c r="C55" s="38" t="n">
        <v>46125</v>
      </c>
      <c r="D55" s="39" t="n">
        <v>0.21875</v>
      </c>
      <c r="E55" t="inlineStr">
        <is>
          <t>Ana Costa</t>
        </is>
      </c>
      <c r="F55" t="inlineStr">
        <is>
          <t>F-302</t>
        </is>
      </c>
      <c r="G55" t="inlineStr">
        <is>
          <t>Falha</t>
        </is>
      </c>
      <c r="H55" t="inlineStr">
        <is>
          <t>Mecanica</t>
        </is>
      </c>
      <c r="I55" t="inlineStr">
        <is>
          <t>Ventilador de Exaustao</t>
        </is>
      </c>
      <c r="J55" t="inlineStr">
        <is>
          <t>Media</t>
        </is>
      </c>
      <c r="K55" s="40" t="n">
        <v>3.1</v>
      </c>
      <c r="L55" s="41" t="n">
        <v>38750</v>
      </c>
      <c r="M55" t="inlineStr">
        <is>
          <t>Evento 046 registrado pelo turno</t>
        </is>
      </c>
      <c r="N55" t="inlineStr">
        <is>
          <t>Resolvido</t>
        </is>
      </c>
    </row>
    <row r="56">
      <c r="B56" t="n">
        <v>9</v>
      </c>
      <c r="C56" s="38" t="n">
        <v>46128</v>
      </c>
      <c r="D56" s="39" t="n">
        <v>0.3125</v>
      </c>
      <c r="E56" t="inlineStr">
        <is>
          <t>Lucia Ferreira</t>
        </is>
      </c>
      <c r="F56" t="inlineStr">
        <is>
          <t>F-202</t>
        </is>
      </c>
      <c r="G56" t="inlineStr">
        <is>
          <t>Falha</t>
        </is>
      </c>
      <c r="H56" t="inlineStr">
        <is>
          <t>Termica</t>
        </is>
      </c>
      <c r="I56" t="inlineStr">
        <is>
          <t>Manta Isolante</t>
        </is>
      </c>
      <c r="J56" t="inlineStr">
        <is>
          <t>Baixa</t>
        </is>
      </c>
      <c r="K56" s="40" t="n">
        <v>8</v>
      </c>
      <c r="L56" s="41" t="n">
        <v>50000</v>
      </c>
      <c r="M56" t="inlineStr">
        <is>
          <t>Evento 009 registrado pelo turno</t>
        </is>
      </c>
      <c r="N56" t="inlineStr">
        <is>
          <t>Em analise</t>
        </is>
      </c>
    </row>
    <row r="57">
      <c r="B57" t="n">
        <v>20</v>
      </c>
      <c r="C57" s="38" t="n">
        <v>46133</v>
      </c>
      <c r="D57" s="39" t="n">
        <v>0.6666666666666666</v>
      </c>
      <c r="E57" t="inlineStr">
        <is>
          <t>Pedro Almeida</t>
        </is>
      </c>
      <c r="F57" t="inlineStr">
        <is>
          <t>F-301</t>
        </is>
      </c>
      <c r="G57" t="inlineStr">
        <is>
          <t>Falha</t>
        </is>
      </c>
      <c r="H57" t="inlineStr">
        <is>
          <t>Eletrica</t>
        </is>
      </c>
      <c r="I57" t="inlineStr">
        <is>
          <t>Sensor de Temperatura</t>
        </is>
      </c>
      <c r="J57" t="inlineStr">
        <is>
          <t>Baixa</t>
        </is>
      </c>
      <c r="K57" s="40" t="n">
        <v>11.3</v>
      </c>
      <c r="L57" s="41" t="n">
        <v>70625</v>
      </c>
      <c r="M57" t="inlineStr">
        <is>
          <t>Evento 020 registrado pelo turno</t>
        </is>
      </c>
      <c r="N57" t="inlineStr">
        <is>
          <t>Aberto</t>
        </is>
      </c>
    </row>
    <row r="58">
      <c r="B58" t="n">
        <v>25</v>
      </c>
      <c r="C58" s="38" t="n">
        <v>46133</v>
      </c>
      <c r="D58" s="39" t="n">
        <v>0.75</v>
      </c>
      <c r="E58" t="inlineStr">
        <is>
          <t>Maria Oliveira</t>
        </is>
      </c>
      <c r="F58" t="inlineStr">
        <is>
          <t>F-102</t>
        </is>
      </c>
      <c r="G58" t="inlineStr">
        <is>
          <t>Parada Programada</t>
        </is>
      </c>
      <c r="H58" t="inlineStr">
        <is>
          <t>Operacional</t>
        </is>
      </c>
      <c r="I58" t="inlineStr">
        <is>
          <t>Damper</t>
        </is>
      </c>
      <c r="J58" t="inlineStr">
        <is>
          <t>Baixa</t>
        </is>
      </c>
      <c r="K58" s="40" t="n">
        <v>6.2</v>
      </c>
      <c r="L58" s="41" t="n">
        <v>38750</v>
      </c>
      <c r="M58" t="inlineStr">
        <is>
          <t>Evento 025 registrado pelo turno</t>
        </is>
      </c>
      <c r="N58" t="inlineStr">
        <is>
          <t>Aberto</t>
        </is>
      </c>
    </row>
    <row r="59">
      <c r="B59" t="n">
        <v>31</v>
      </c>
      <c r="C59" s="38" t="n">
        <v>46135</v>
      </c>
      <c r="D59" s="39" t="n">
        <v>0.34375</v>
      </c>
      <c r="E59" t="inlineStr">
        <is>
          <t>Lucia Ferreira</t>
        </is>
      </c>
      <c r="F59" t="inlineStr">
        <is>
          <t>F-201</t>
        </is>
      </c>
      <c r="G59" t="inlineStr">
        <is>
          <t>Falha</t>
        </is>
      </c>
      <c r="H59" t="inlineStr">
        <is>
          <t>Termica</t>
        </is>
      </c>
      <c r="I59" t="inlineStr">
        <is>
          <t>Sensor de Temperatura</t>
        </is>
      </c>
      <c r="J59" t="inlineStr">
        <is>
          <t>Baixa</t>
        </is>
      </c>
      <c r="K59" s="40" t="n">
        <v>11.8</v>
      </c>
      <c r="L59" s="41" t="n">
        <v>73750</v>
      </c>
      <c r="M59" t="inlineStr">
        <is>
          <t>Evento 031 registrado pelo turno</t>
        </is>
      </c>
      <c r="N59" t="inlineStr">
        <is>
          <t>Aberto</t>
        </is>
      </c>
    </row>
    <row r="60">
      <c r="B60" t="n">
        <v>16</v>
      </c>
      <c r="C60" s="38" t="n">
        <v>46135</v>
      </c>
      <c r="D60" s="39" t="n">
        <v>0.6354166666666666</v>
      </c>
      <c r="E60" t="inlineStr">
        <is>
          <t>Lucia Ferreira</t>
        </is>
      </c>
      <c r="F60" t="inlineStr">
        <is>
          <t>F-101</t>
        </is>
      </c>
      <c r="G60" t="inlineStr">
        <is>
          <t>Falha</t>
        </is>
      </c>
      <c r="H60" t="inlineStr">
        <is>
          <t>Mecanica</t>
        </is>
      </c>
      <c r="I60" t="inlineStr">
        <is>
          <t>Bujao Refratario</t>
        </is>
      </c>
      <c r="J60" t="inlineStr">
        <is>
          <t>Media</t>
        </is>
      </c>
      <c r="K60" s="40" t="n">
        <v>1.3</v>
      </c>
      <c r="L60" s="41" t="n">
        <v>16250</v>
      </c>
      <c r="M60" t="inlineStr">
        <is>
          <t>Evento 016 registrado pelo turno</t>
        </is>
      </c>
      <c r="N60" t="inlineStr">
        <is>
          <t>Aberto</t>
        </is>
      </c>
    </row>
    <row r="61">
      <c r="B61" t="n">
        <v>10</v>
      </c>
      <c r="C61" s="38" t="n">
        <v>46137</v>
      </c>
      <c r="D61" s="39" t="n">
        <v>0.1145833333333333</v>
      </c>
      <c r="E61" t="inlineStr">
        <is>
          <t>Pedro Almeida</t>
        </is>
      </c>
      <c r="F61" t="inlineStr">
        <is>
          <t>F-102</t>
        </is>
      </c>
      <c r="G61" t="inlineStr">
        <is>
          <t>Falha</t>
        </is>
      </c>
      <c r="H61" t="inlineStr">
        <is>
          <t>Instrumentacao</t>
        </is>
      </c>
      <c r="I61" t="inlineStr">
        <is>
          <t>Manta Isolante</t>
        </is>
      </c>
      <c r="J61" t="inlineStr">
        <is>
          <t>Media</t>
        </is>
      </c>
      <c r="K61" s="40" t="n">
        <v>9.1</v>
      </c>
      <c r="L61" s="41" t="n">
        <v>113750</v>
      </c>
      <c r="M61" t="inlineStr">
        <is>
          <t>Evento 010 registrado pelo turno</t>
        </is>
      </c>
      <c r="N61" t="inlineStr">
        <is>
          <t>Em analise</t>
        </is>
      </c>
    </row>
    <row r="62">
      <c r="B62" t="n">
        <v>55</v>
      </c>
      <c r="C62" s="38" t="n">
        <v>46137</v>
      </c>
      <c r="D62" s="39" t="n">
        <v>0.5729166666666666</v>
      </c>
      <c r="E62" t="inlineStr">
        <is>
          <t>Maria Oliveira</t>
        </is>
      </c>
      <c r="F62" t="inlineStr">
        <is>
          <t>F-102</t>
        </is>
      </c>
      <c r="G62" t="inlineStr">
        <is>
          <t>Falha</t>
        </is>
      </c>
      <c r="H62" t="inlineStr">
        <is>
          <t>Mecanica</t>
        </is>
      </c>
      <c r="I62" t="inlineStr">
        <is>
          <t>Sensor de Temperatura</t>
        </is>
      </c>
      <c r="J62" t="inlineStr">
        <is>
          <t>Baixa</t>
        </is>
      </c>
      <c r="K62" s="40" t="n">
        <v>8.300000000000001</v>
      </c>
      <c r="L62" s="41" t="n">
        <v>51875</v>
      </c>
      <c r="M62" t="inlineStr">
        <is>
          <t>Evento 055 registrado pelo turno</t>
        </is>
      </c>
      <c r="N62" t="inlineStr">
        <is>
          <t>Em analise</t>
        </is>
      </c>
    </row>
    <row r="63">
      <c r="B63" t="n">
        <v>52</v>
      </c>
      <c r="C63" s="38" t="n">
        <v>46137</v>
      </c>
      <c r="D63" s="39" t="n">
        <v>0.9583333333333334</v>
      </c>
      <c r="E63" t="inlineStr">
        <is>
          <t>Ana Costa</t>
        </is>
      </c>
      <c r="F63" t="inlineStr">
        <is>
          <t>F-102</t>
        </is>
      </c>
      <c r="G63" t="inlineStr">
        <is>
          <t>Falha</t>
        </is>
      </c>
      <c r="H63" t="inlineStr">
        <is>
          <t>Instrumentacao</t>
        </is>
      </c>
      <c r="I63" t="inlineStr">
        <is>
          <t>Damper</t>
        </is>
      </c>
      <c r="J63" t="inlineStr">
        <is>
          <t>Media</t>
        </is>
      </c>
      <c r="K63" s="40" t="n">
        <v>1.2</v>
      </c>
      <c r="L63" s="41" t="n">
        <v>15000</v>
      </c>
      <c r="M63" t="inlineStr">
        <is>
          <t>Evento 052 registrado pelo turno</t>
        </is>
      </c>
      <c r="N63" t="inlineStr">
        <is>
          <t>Em analise</t>
        </is>
      </c>
    </row>
    <row r="64">
      <c r="B64" t="n">
        <v>11</v>
      </c>
      <c r="C64" s="38" t="n">
        <v>46138</v>
      </c>
      <c r="D64" s="39" t="n">
        <v>0.03125</v>
      </c>
      <c r="E64" t="inlineStr">
        <is>
          <t>Maria Oliveira</t>
        </is>
      </c>
      <c r="F64" t="inlineStr">
        <is>
          <t>F-201</t>
        </is>
      </c>
      <c r="G64" t="inlineStr">
        <is>
          <t>Falha</t>
        </is>
      </c>
      <c r="H64" t="inlineStr">
        <is>
          <t>Termica</t>
        </is>
      </c>
      <c r="I64" t="inlineStr">
        <is>
          <t>Marmita</t>
        </is>
      </c>
      <c r="J64" t="inlineStr">
        <is>
          <t>Baixa</t>
        </is>
      </c>
      <c r="K64" s="40" t="n">
        <v>1</v>
      </c>
      <c r="L64" s="41" t="n">
        <v>6250</v>
      </c>
      <c r="M64" t="inlineStr">
        <is>
          <t>Evento 011 registrado pelo turno</t>
        </is>
      </c>
      <c r="N64" t="inlineStr">
        <is>
          <t>Resolvido</t>
        </is>
      </c>
    </row>
    <row r="65">
      <c r="B65" t="n">
        <v>18</v>
      </c>
      <c r="C65" s="38" t="n">
        <v>46141</v>
      </c>
      <c r="D65" s="39" t="n">
        <v>0.96875</v>
      </c>
      <c r="E65" t="inlineStr">
        <is>
          <t>Pedro Almeida</t>
        </is>
      </c>
      <c r="F65" t="inlineStr">
        <is>
          <t>F-302</t>
        </is>
      </c>
      <c r="G65" t="inlineStr">
        <is>
          <t>Falha</t>
        </is>
      </c>
      <c r="H65" t="inlineStr">
        <is>
          <t>Refratario</t>
        </is>
      </c>
      <c r="I65" t="inlineStr">
        <is>
          <t>Ventilador de Exaustao</t>
        </is>
      </c>
      <c r="J65" t="inlineStr">
        <is>
          <t>Media</t>
        </is>
      </c>
      <c r="K65" s="40" t="n">
        <v>3.4</v>
      </c>
      <c r="L65" s="41" t="n">
        <v>42500</v>
      </c>
      <c r="M65" t="inlineStr">
        <is>
          <t>Evento 018 registrado pelo turno</t>
        </is>
      </c>
      <c r="N65" t="inlineStr">
        <is>
          <t>Resolvido</t>
        </is>
      </c>
    </row>
  </sheetData>
  <mergeCells count="3">
    <mergeCell ref="B4:N4"/>
    <mergeCell ref="A2:N2"/>
    <mergeCell ref="A1:N1"/>
  </mergeCells>
  <printOptions horizontalCentered="1"/>
  <pageMargins left="0.4" right="0.4" top="0.6" bottom="0.6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38" customHeight="1">
      <c r="A1" s="1" t="inlineStr">
        <is>
          <t>EXAUSTAO 360 - ANALISE DE CONFIABILIDADE</t>
        </is>
      </c>
    </row>
    <row r="2" ht="22" customHeight="1">
      <c r="A2" s="2" t="inlineStr">
        <is>
          <t>MTBF / MTTR por forno, FMEA e Plano de Acao. Atualizar com [Atualizar Tudo].</t>
        </is>
      </c>
    </row>
    <row r="4" ht="26" customHeight="1">
      <c r="B4" s="5" t="inlineStr">
        <is>
          <t>MTBF e MTTR por Forno</t>
        </is>
      </c>
    </row>
    <row r="5" ht="22" customHeight="1">
      <c r="B5" s="16" t="inlineStr">
        <is>
          <t>Forno</t>
        </is>
      </c>
      <c r="C5" s="16" t="inlineStr">
        <is>
          <t>Eventos</t>
        </is>
      </c>
      <c r="D5" s="16" t="inlineStr">
        <is>
          <t>Duracao Total (h)</t>
        </is>
      </c>
      <c r="E5" s="16" t="inlineStr">
        <is>
          <t>MTBF (h)</t>
        </is>
      </c>
      <c r="F5" s="16" t="inlineStr">
        <is>
          <t>MTTR (h)</t>
        </is>
      </c>
      <c r="G5" s="16" t="inlineStr">
        <is>
          <t>Custo Total (R$)</t>
        </is>
      </c>
      <c r="H5" s="16" t="inlineStr">
        <is>
          <t>Status</t>
        </is>
      </c>
    </row>
    <row r="6" ht="18" customHeight="1">
      <c r="B6" s="17" t="inlineStr">
        <is>
          <t>F-101</t>
        </is>
      </c>
      <c r="C6" s="18">
        <f>COUNTIF(tbEventos[Forno],B6)</f>
        <v/>
      </c>
      <c r="D6" s="24">
        <f>SUMIF(tbEventos[Forno],B6,tbEventos[DuracaoHoras])</f>
        <v/>
      </c>
      <c r="E6" s="24">
        <f>IFERROR(K_HORAS_PERIODO/MAX(C6,1),0)</f>
        <v/>
      </c>
      <c r="F6" s="24">
        <f>IFERROR(D6/MAX(C6,1),0)</f>
        <v/>
      </c>
      <c r="G6" s="19">
        <f>SUMIF(tbEventos[Forno],B6,tbEventos[CustoEstimado])</f>
        <v/>
      </c>
      <c r="H6" s="21">
        <f>IF(E6&lt;K_META_MTBF,"Atencao",IF(F6&gt;K_META_MTTR,"Revisar","OK"))</f>
        <v/>
      </c>
    </row>
    <row r="7" ht="18" customHeight="1">
      <c r="B7" s="17" t="inlineStr">
        <is>
          <t>F-102</t>
        </is>
      </c>
      <c r="C7" s="18">
        <f>COUNTIF(tbEventos[Forno],B7)</f>
        <v/>
      </c>
      <c r="D7" s="24">
        <f>SUMIF(tbEventos[Forno],B7,tbEventos[DuracaoHoras])</f>
        <v/>
      </c>
      <c r="E7" s="24">
        <f>IFERROR(K_HORAS_PERIODO/MAX(C7,1),0)</f>
        <v/>
      </c>
      <c r="F7" s="24">
        <f>IFERROR(D7/MAX(C7,1),0)</f>
        <v/>
      </c>
      <c r="G7" s="19">
        <f>SUMIF(tbEventos[Forno],B7,tbEventos[CustoEstimado])</f>
        <v/>
      </c>
      <c r="H7" s="21">
        <f>IF(E7&lt;K_META_MTBF,"Atencao",IF(F7&gt;K_META_MTTR,"Revisar","OK"))</f>
        <v/>
      </c>
    </row>
    <row r="8" ht="18" customHeight="1">
      <c r="B8" s="17" t="inlineStr">
        <is>
          <t>F-201</t>
        </is>
      </c>
      <c r="C8" s="18">
        <f>COUNTIF(tbEventos[Forno],B8)</f>
        <v/>
      </c>
      <c r="D8" s="24">
        <f>SUMIF(tbEventos[Forno],B8,tbEventos[DuracaoHoras])</f>
        <v/>
      </c>
      <c r="E8" s="24">
        <f>IFERROR(K_HORAS_PERIODO/MAX(C8,1),0)</f>
        <v/>
      </c>
      <c r="F8" s="24">
        <f>IFERROR(D8/MAX(C8,1),0)</f>
        <v/>
      </c>
      <c r="G8" s="19">
        <f>SUMIF(tbEventos[Forno],B8,tbEventos[CustoEstimado])</f>
        <v/>
      </c>
      <c r="H8" s="21">
        <f>IF(E8&lt;K_META_MTBF,"Atencao",IF(F8&gt;K_META_MTTR,"Revisar","OK"))</f>
        <v/>
      </c>
    </row>
    <row r="9" ht="18" customHeight="1">
      <c r="B9" s="17" t="inlineStr">
        <is>
          <t>F-202</t>
        </is>
      </c>
      <c r="C9" s="18">
        <f>COUNTIF(tbEventos[Forno],B9)</f>
        <v/>
      </c>
      <c r="D9" s="24">
        <f>SUMIF(tbEventos[Forno],B9,tbEventos[DuracaoHoras])</f>
        <v/>
      </c>
      <c r="E9" s="24">
        <f>IFERROR(K_HORAS_PERIODO/MAX(C9,1),0)</f>
        <v/>
      </c>
      <c r="F9" s="24">
        <f>IFERROR(D9/MAX(C9,1),0)</f>
        <v/>
      </c>
      <c r="G9" s="19">
        <f>SUMIF(tbEventos[Forno],B9,tbEventos[CustoEstimado])</f>
        <v/>
      </c>
      <c r="H9" s="21">
        <f>IF(E9&lt;K_META_MTBF,"Atencao",IF(F9&gt;K_META_MTTR,"Revisar","OK"))</f>
        <v/>
      </c>
    </row>
    <row r="10" ht="18" customHeight="1">
      <c r="B10" s="17" t="inlineStr">
        <is>
          <t>F-301</t>
        </is>
      </c>
      <c r="C10" s="18">
        <f>COUNTIF(tbEventos[Forno],B10)</f>
        <v/>
      </c>
      <c r="D10" s="24">
        <f>SUMIF(tbEventos[Forno],B10,tbEventos[DuracaoHoras])</f>
        <v/>
      </c>
      <c r="E10" s="24">
        <f>IFERROR(K_HORAS_PERIODO/MAX(C10,1),0)</f>
        <v/>
      </c>
      <c r="F10" s="24">
        <f>IFERROR(D10/MAX(C10,1),0)</f>
        <v/>
      </c>
      <c r="G10" s="19">
        <f>SUMIF(tbEventos[Forno],B10,tbEventos[CustoEstimado])</f>
        <v/>
      </c>
      <c r="H10" s="21">
        <f>IF(E10&lt;K_META_MTBF,"Atencao",IF(F10&gt;K_META_MTTR,"Revisar","OK"))</f>
        <v/>
      </c>
    </row>
    <row r="11" ht="18" customHeight="1">
      <c r="B11" s="17" t="inlineStr">
        <is>
          <t>F-302</t>
        </is>
      </c>
      <c r="C11" s="18">
        <f>COUNTIF(tbEventos[Forno],B11)</f>
        <v/>
      </c>
      <c r="D11" s="24">
        <f>SUMIF(tbEventos[Forno],B11,tbEventos[DuracaoHoras])</f>
        <v/>
      </c>
      <c r="E11" s="24">
        <f>IFERROR(K_HORAS_PERIODO/MAX(C11,1),0)</f>
        <v/>
      </c>
      <c r="F11" s="24">
        <f>IFERROR(D11/MAX(C11,1),0)</f>
        <v/>
      </c>
      <c r="G11" s="19">
        <f>SUMIF(tbEventos[Forno],B11,tbEventos[CustoEstimado])</f>
        <v/>
      </c>
      <c r="H11" s="21">
        <f>IF(E11&lt;K_META_MTBF,"Atencao",IF(F11&gt;K_META_MTTR,"Revisar","OK"))</f>
        <v/>
      </c>
    </row>
    <row r="14" ht="26" customHeight="1">
      <c r="B14" s="5" t="inlineStr">
        <is>
          <t>FMEA - Modos de Falha e Efeitos</t>
        </is>
      </c>
    </row>
    <row r="15">
      <c r="B15" t="inlineStr">
        <is>
          <t>Forno</t>
        </is>
      </c>
      <c r="C15" t="inlineStr">
        <is>
          <t>Componente</t>
        </is>
      </c>
      <c r="D15" t="inlineStr">
        <is>
          <t>ModoFalha</t>
        </is>
      </c>
      <c r="E15" t="inlineStr">
        <is>
          <t>Efeito</t>
        </is>
      </c>
      <c r="F15" t="inlineStr">
        <is>
          <t>Controle</t>
        </is>
      </c>
      <c r="G15" t="inlineStr">
        <is>
          <t>Severidade</t>
        </is>
      </c>
      <c r="H15" t="inlineStr">
        <is>
          <t>Ocorrencia</t>
        </is>
      </c>
      <c r="I15" t="inlineStr">
        <is>
          <t>Deteccao</t>
        </is>
      </c>
      <c r="J15" t="inlineStr">
        <is>
          <t>RPN</t>
        </is>
      </c>
      <c r="K15" t="inlineStr">
        <is>
          <t>Prioridade</t>
        </is>
      </c>
    </row>
    <row r="16">
      <c r="B16" t="inlineStr">
        <is>
          <t>F-101</t>
        </is>
      </c>
      <c r="C16" t="inlineStr">
        <is>
          <t>Bujao Refratario</t>
        </is>
      </c>
      <c r="D16" t="inlineStr">
        <is>
          <t>Trinca por choque termico</t>
        </is>
      </c>
      <c r="E16" t="inlineStr">
        <is>
          <t>Parada do forno</t>
        </is>
      </c>
      <c r="F16" t="inlineStr">
        <is>
          <t>Inspecao visual semanal</t>
        </is>
      </c>
      <c r="G16" t="n">
        <v>4</v>
      </c>
      <c r="H16" t="n">
        <v>3</v>
      </c>
      <c r="I16" t="n">
        <v>4</v>
      </c>
      <c r="J16" t="n">
        <v>48</v>
      </c>
      <c r="K16" t="inlineStr">
        <is>
          <t>Alta</t>
        </is>
      </c>
    </row>
    <row r="17">
      <c r="B17" t="inlineStr">
        <is>
          <t>F-101</t>
        </is>
      </c>
      <c r="C17" t="inlineStr">
        <is>
          <t>Tubulacao</t>
        </is>
      </c>
      <c r="D17" t="inlineStr">
        <is>
          <t>Vazamento por corrosao</t>
        </is>
      </c>
      <c r="E17" t="inlineStr">
        <is>
          <t>Perda de eficiencia</t>
        </is>
      </c>
      <c r="F17" t="inlineStr">
        <is>
          <t>Inspecao trimestral</t>
        </is>
      </c>
      <c r="G17" t="n">
        <v>3</v>
      </c>
      <c r="H17" t="n">
        <v>4</v>
      </c>
      <c r="I17" t="n">
        <v>3</v>
      </c>
      <c r="J17" t="n">
        <v>36</v>
      </c>
      <c r="K17" t="inlineStr">
        <is>
          <t>Media</t>
        </is>
      </c>
    </row>
    <row r="18">
      <c r="B18" t="inlineStr">
        <is>
          <t>F-202</t>
        </is>
      </c>
      <c r="C18" t="inlineStr">
        <is>
          <t>Manta Isolante</t>
        </is>
      </c>
      <c r="D18" t="inlineStr">
        <is>
          <t>Degradacao por temperatura</t>
        </is>
      </c>
      <c r="E18" t="inlineStr">
        <is>
          <t>Perda termica</t>
        </is>
      </c>
      <c r="F18" t="inlineStr">
        <is>
          <t>Substituicao programada</t>
        </is>
      </c>
      <c r="G18" t="n">
        <v>5</v>
      </c>
      <c r="H18" t="n">
        <v>5</v>
      </c>
      <c r="I18" t="n">
        <v>3</v>
      </c>
      <c r="J18" t="n">
        <v>75</v>
      </c>
      <c r="K18" t="inlineStr">
        <is>
          <t>Critica</t>
        </is>
      </c>
    </row>
    <row r="19">
      <c r="B19" t="inlineStr">
        <is>
          <t>F-301</t>
        </is>
      </c>
      <c r="C19" t="inlineStr">
        <is>
          <t>Queimador</t>
        </is>
      </c>
      <c r="D19" t="inlineStr">
        <is>
          <t>Entupimento de bicos</t>
        </is>
      </c>
      <c r="E19" t="inlineStr">
        <is>
          <t>Combustao incompleta</t>
        </is>
      </c>
      <c r="F19" t="inlineStr">
        <is>
          <t>Limpeza mensal</t>
        </is>
      </c>
      <c r="G19" t="n">
        <v>4</v>
      </c>
      <c r="H19" t="n">
        <v>4</v>
      </c>
      <c r="I19" t="n">
        <v>4</v>
      </c>
      <c r="J19" t="n">
        <v>64</v>
      </c>
      <c r="K19" t="inlineStr">
        <is>
          <t>Critica</t>
        </is>
      </c>
    </row>
    <row r="20">
      <c r="B20" t="inlineStr">
        <is>
          <t>F-201</t>
        </is>
      </c>
      <c r="C20" t="inlineStr">
        <is>
          <t>Ventilador</t>
        </is>
      </c>
      <c r="D20" t="inlineStr">
        <is>
          <t>Desbalanceamento</t>
        </is>
      </c>
      <c r="E20" t="inlineStr">
        <is>
          <t>Vibracao excessiva</t>
        </is>
      </c>
      <c r="F20" t="inlineStr">
        <is>
          <t>Analise de vibracao</t>
        </is>
      </c>
      <c r="G20" t="n">
        <v>3</v>
      </c>
      <c r="H20" t="n">
        <v>3</v>
      </c>
      <c r="I20" t="n">
        <v>4</v>
      </c>
      <c r="J20" t="n">
        <v>36</v>
      </c>
      <c r="K20" t="inlineStr">
        <is>
          <t>Media</t>
        </is>
      </c>
    </row>
    <row r="21">
      <c r="B21" t="inlineStr">
        <is>
          <t>F-302</t>
        </is>
      </c>
      <c r="C21" t="inlineStr">
        <is>
          <t>Damper</t>
        </is>
      </c>
      <c r="D21" t="inlineStr">
        <is>
          <t>Travamento mecanico</t>
        </is>
      </c>
      <c r="E21" t="inlineStr">
        <is>
          <t>Falha de regulagem</t>
        </is>
      </c>
      <c r="F21" t="inlineStr">
        <is>
          <t>Lubrificacao programada</t>
        </is>
      </c>
      <c r="G21" t="n">
        <v>2</v>
      </c>
      <c r="H21" t="n">
        <v>3</v>
      </c>
      <c r="I21" t="n">
        <v>5</v>
      </c>
      <c r="J21" t="n">
        <v>30</v>
      </c>
      <c r="K21" t="inlineStr">
        <is>
          <t>Baixa</t>
        </is>
      </c>
    </row>
    <row r="22">
      <c r="B22" t="inlineStr">
        <is>
          <t>F-102</t>
        </is>
      </c>
      <c r="C22" t="inlineStr">
        <is>
          <t>Sensor Temperatura</t>
        </is>
      </c>
      <c r="D22" t="inlineStr">
        <is>
          <t>Drift de leitura</t>
        </is>
      </c>
      <c r="E22" t="inlineStr">
        <is>
          <t>Controle impreciso</t>
        </is>
      </c>
      <c r="F22" t="inlineStr">
        <is>
          <t>Calibracao semestral</t>
        </is>
      </c>
      <c r="G22" t="n">
        <v>3</v>
      </c>
      <c r="H22" t="n">
        <v>2</v>
      </c>
      <c r="I22" t="n">
        <v>4</v>
      </c>
      <c r="J22" t="n">
        <v>24</v>
      </c>
      <c r="K22" t="inlineStr">
        <is>
          <t>Baixa</t>
        </is>
      </c>
    </row>
    <row r="25" ht="26" customHeight="1">
      <c r="B25" s="5" t="inlineStr">
        <is>
          <t>Plano de Acao</t>
        </is>
      </c>
    </row>
    <row r="26">
      <c r="B26" t="inlineStr">
        <is>
          <t>ID</t>
        </is>
      </c>
      <c r="C26" t="inlineStr">
        <is>
          <t>Acao</t>
        </is>
      </c>
      <c r="D26" t="inlineStr">
        <is>
          <t>Responsavel</t>
        </is>
      </c>
      <c r="E26" t="inlineStr">
        <is>
          <t>Prazo</t>
        </is>
      </c>
      <c r="F26" t="inlineStr">
        <is>
          <t>Status</t>
        </is>
      </c>
      <c r="G26" t="inlineStr">
        <is>
          <t>Prioridade</t>
        </is>
      </c>
      <c r="H26" t="inlineStr">
        <is>
          <t>ImpactoFinanceiro</t>
        </is>
      </c>
      <c r="I26" t="inlineStr">
        <is>
          <t>Risco</t>
        </is>
      </c>
      <c r="J26" t="inlineStr">
        <is>
          <t>ProximaEtapa</t>
        </is>
      </c>
    </row>
    <row r="27">
      <c r="B27" t="n">
        <v>1</v>
      </c>
      <c r="C27" t="inlineStr">
        <is>
          <t>Substituicao programada de bujao no F-101</t>
        </is>
      </c>
      <c r="D27" t="inlineStr">
        <is>
          <t>Carlos Silva</t>
        </is>
      </c>
      <c r="E27" s="38" t="n">
        <v>46157</v>
      </c>
      <c r="F27" t="inlineStr">
        <is>
          <t>Em andamento</t>
        </is>
      </c>
      <c r="G27" t="inlineStr">
        <is>
          <t>Alta</t>
        </is>
      </c>
      <c r="H27" s="41" t="n">
        <v>35000</v>
      </c>
      <c r="I27" t="inlineStr">
        <is>
          <t>Critica</t>
        </is>
      </c>
      <c r="J27" t="inlineStr">
        <is>
          <t>Compra do componente</t>
        </is>
      </c>
    </row>
    <row r="28">
      <c r="B28" t="n">
        <v>2</v>
      </c>
      <c r="C28" t="inlineStr">
        <is>
          <t>Inspecao termografica nos fornos da Area B</t>
        </is>
      </c>
      <c r="D28" t="inlineStr">
        <is>
          <t>Maria Oliveira</t>
        </is>
      </c>
      <c r="E28" s="38" t="n">
        <v>46172</v>
      </c>
      <c r="F28" t="inlineStr">
        <is>
          <t>Planejado</t>
        </is>
      </c>
      <c r="G28" t="inlineStr">
        <is>
          <t>Alta</t>
        </is>
      </c>
      <c r="H28" s="41" t="n">
        <v>12000</v>
      </c>
      <c r="I28" t="inlineStr">
        <is>
          <t>Alta</t>
        </is>
      </c>
      <c r="J28" t="inlineStr">
        <is>
          <t>Agendar empresa especializada</t>
        </is>
      </c>
    </row>
    <row r="29">
      <c r="B29" t="n">
        <v>3</v>
      </c>
      <c r="C29" t="inlineStr">
        <is>
          <t>Revisao do plano preventivo de mantas</t>
        </is>
      </c>
      <c r="D29" t="inlineStr">
        <is>
          <t>Pedro Almeida</t>
        </is>
      </c>
      <c r="E29" s="38" t="n">
        <v>46183</v>
      </c>
      <c r="F29" t="inlineStr">
        <is>
          <t>Planejado</t>
        </is>
      </c>
      <c r="G29" t="inlineStr">
        <is>
          <t>Media</t>
        </is>
      </c>
      <c r="H29" s="41" t="n">
        <v>8000</v>
      </c>
      <c r="I29" t="inlineStr">
        <is>
          <t>Media</t>
        </is>
      </c>
      <c r="J29" t="inlineStr">
        <is>
          <t>Analisar historico</t>
        </is>
      </c>
    </row>
    <row r="30">
      <c r="B30" t="n">
        <v>4</v>
      </c>
      <c r="C30" t="inlineStr">
        <is>
          <t>Calibracao geral de sensores de temperatura</t>
        </is>
      </c>
      <c r="D30" t="inlineStr">
        <is>
          <t>Lucia Ferreira</t>
        </is>
      </c>
      <c r="E30" s="38" t="n">
        <v>46162</v>
      </c>
      <c r="F30" t="inlineStr">
        <is>
          <t>Concluido</t>
        </is>
      </c>
      <c r="G30" t="inlineStr">
        <is>
          <t>Media</t>
        </is>
      </c>
      <c r="H30" s="41" t="n">
        <v>5000</v>
      </c>
      <c r="I30" t="inlineStr">
        <is>
          <t>Baixa</t>
        </is>
      </c>
      <c r="J30" t="inlineStr">
        <is>
          <t>Concluido em 28/04</t>
        </is>
      </c>
    </row>
    <row r="31">
      <c r="B31" t="n">
        <v>5</v>
      </c>
      <c r="C31" t="inlineStr">
        <is>
          <t>Treinamento operacional - turno C</t>
        </is>
      </c>
      <c r="D31" t="inlineStr">
        <is>
          <t>Joao Santos</t>
        </is>
      </c>
      <c r="E31" s="38" t="n">
        <v>46198</v>
      </c>
      <c r="F31" t="inlineStr">
        <is>
          <t>Planejado</t>
        </is>
      </c>
      <c r="G31" t="inlineStr">
        <is>
          <t>Baixa</t>
        </is>
      </c>
      <c r="H31" s="41" t="n">
        <v>3000</v>
      </c>
      <c r="I31" t="inlineStr">
        <is>
          <t>Media</t>
        </is>
      </c>
      <c r="J31" t="inlineStr">
        <is>
          <t>Definir conteudo programatico</t>
        </is>
      </c>
    </row>
    <row r="32">
      <c r="B32" t="n">
        <v>6</v>
      </c>
      <c r="C32" t="inlineStr">
        <is>
          <t>Estudo de criticidade FMEA - Forno F-202</t>
        </is>
      </c>
      <c r="D32" t="inlineStr">
        <is>
          <t>Ana Costa</t>
        </is>
      </c>
      <c r="E32" s="38" t="n">
        <v>46152</v>
      </c>
      <c r="F32" t="inlineStr">
        <is>
          <t>Atrasado</t>
        </is>
      </c>
      <c r="G32" t="inlineStr">
        <is>
          <t>Critica</t>
        </is>
      </c>
      <c r="H32" s="41" t="n">
        <v>50000</v>
      </c>
      <c r="I32" t="inlineStr">
        <is>
          <t>Critica</t>
        </is>
      </c>
      <c r="J32" t="inlineStr">
        <is>
          <t>Reuniao de alinhamento pendente</t>
        </is>
      </c>
    </row>
  </sheetData>
  <mergeCells count="5">
    <mergeCell ref="B14:K14"/>
    <mergeCell ref="B4:H4"/>
    <mergeCell ref="A2:N2"/>
    <mergeCell ref="B25:K25"/>
    <mergeCell ref="A1:N1"/>
  </mergeCells>
  <conditionalFormatting sqref="H6:H11">
    <cfRule type="expression" priority="1" dxfId="1">
      <formula>$H6="Atencao"</formula>
    </cfRule>
    <cfRule type="expression" priority="2" dxfId="0">
      <formula>$H6="Revisar"</formula>
    </cfRule>
    <cfRule type="expression" priority="3" dxfId="3">
      <formula>$H6="OK"</formula>
    </cfRule>
  </conditionalFormatting>
  <conditionalFormatting sqref="J16:J22">
    <cfRule type="expression" priority="4" dxfId="0">
      <formula>$J16&gt;=60</formula>
    </cfRule>
    <cfRule type="expression" priority="5" dxfId="1">
      <formula>AND($J16&gt;=30,$J16&lt;60)</formula>
    </cfRule>
    <cfRule type="expression" priority="6" dxfId="3">
      <formula>$J16&lt;30</formula>
    </cfRule>
  </conditionalFormatting>
  <conditionalFormatting sqref="F27:F32">
    <cfRule type="expression" priority="7" dxfId="0">
      <formula>$F27="Atrasado"</formula>
    </cfRule>
    <cfRule type="expression" priority="8" dxfId="1">
      <formula>$F27="Em andamento"</formula>
    </cfRule>
    <cfRule type="expression" priority="9" dxfId="3">
      <formula>$F27="Concluido"</formula>
    </cfRule>
  </conditionalFormatting>
  <printOptions horizontalCentered="1"/>
  <pageMargins left="0.4" right="0.4" top="0.6" bottom="0.6" header="0.5" footer="0.5"/>
  <pageSetup orientation="landscape" paperSize="9" fitToHeight="0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4" customWidth="1" min="4" max="4"/>
    <col width="22" customWidth="1" min="5" max="5"/>
    <col width="22" customWidth="1" min="6" max="6"/>
    <col width="22" customWidth="1" min="7" max="7"/>
    <col width="4" customWidth="1" min="8" max="8"/>
    <col width="28" customWidth="1" min="9" max="9"/>
    <col width="18" customWidth="1" min="10" max="10"/>
    <col width="18" customWidth="1" min="11" max="11"/>
  </cols>
  <sheetData>
    <row r="1" ht="38" customHeight="1">
      <c r="A1" s="1" t="inlineStr">
        <is>
          <t>EXAUSTAO 360 - SIMULADOR FINANCEIRO</t>
        </is>
      </c>
    </row>
    <row r="2" ht="22" customHeight="1">
      <c r="A2" s="2" t="inlineStr">
        <is>
          <t>Cenarios Conservador / Realista / Agressivo. Os resultados dependem dos parametros editaveis abaixo.</t>
        </is>
      </c>
    </row>
    <row r="4" ht="26" customHeight="1">
      <c r="B4" s="5" t="inlineStr">
        <is>
          <t>Premissas Editaveis</t>
        </is>
      </c>
      <c r="E4" s="5" t="inlineStr">
        <is>
          <t>Cenarios de Reducao de Perdas</t>
        </is>
      </c>
      <c r="I4" s="5" t="inlineStr">
        <is>
          <t>Resumo Executivo (Realista)</t>
        </is>
      </c>
    </row>
    <row r="5" ht="22" customHeight="1">
      <c r="B5" s="26" t="inlineStr">
        <is>
          <t>Custo medio por hora parada (R$)</t>
        </is>
      </c>
      <c r="C5" s="31" t="n">
        <v>25000</v>
      </c>
      <c r="E5" s="16" t="inlineStr">
        <is>
          <t>Conservador</t>
        </is>
      </c>
      <c r="F5" s="42" t="inlineStr">
        <is>
          <t>Realista</t>
        </is>
      </c>
      <c r="G5" s="16" t="inlineStr">
        <is>
          <t>Agressivo</t>
        </is>
      </c>
      <c r="I5" s="26" t="inlineStr">
        <is>
          <t>Investimento na solucao</t>
        </is>
      </c>
      <c r="J5" s="43">
        <f>INPUT_Investimento</f>
        <v/>
      </c>
    </row>
    <row r="6" ht="22" customHeight="1">
      <c r="B6" s="26" t="inlineStr">
        <is>
          <t>% Reducao</t>
        </is>
      </c>
      <c r="C6" s="44" t="n">
        <v>120</v>
      </c>
      <c r="E6" s="45" t="n">
        <v>0.05</v>
      </c>
      <c r="F6" s="46" t="n">
        <v>0.1</v>
      </c>
      <c r="G6" s="45" t="n">
        <v>0.2</v>
      </c>
      <c r="I6" s="26" t="inlineStr">
        <is>
          <t>Economia anual (10%)</t>
        </is>
      </c>
      <c r="J6" s="43">
        <f>INPUT_PerdaAnual*0.1</f>
        <v/>
      </c>
    </row>
    <row r="7" ht="22" customHeight="1">
      <c r="B7" s="26" t="inlineStr">
        <is>
          <t>Economia/ano</t>
        </is>
      </c>
      <c r="C7" s="31" t="n">
        <v>18000</v>
      </c>
      <c r="E7" s="47">
        <f>INPUT_PerdaAnual*E6</f>
        <v/>
      </c>
      <c r="F7" s="48">
        <f>INPUT_PerdaAnual*F6</f>
        <v/>
      </c>
      <c r="G7" s="47">
        <f>INPUT_PerdaAnual*G6</f>
        <v/>
      </c>
      <c r="I7" s="26" t="inlineStr">
        <is>
          <t>Em milhoes/ano</t>
        </is>
      </c>
      <c r="J7" s="49">
        <f>INPUT_PerdaAnual*0.1</f>
        <v/>
      </c>
    </row>
    <row r="8" ht="22" customHeight="1">
      <c r="B8" s="26" t="inlineStr">
        <is>
          <t>Em milhoes</t>
        </is>
      </c>
      <c r="C8" s="44" t="n">
        <v>45</v>
      </c>
      <c r="E8" s="50">
        <f>INPUT_PerdaAnual*E6</f>
        <v/>
      </c>
      <c r="F8" s="51">
        <f>INPUT_PerdaAnual*F6</f>
        <v/>
      </c>
      <c r="G8" s="50">
        <f>INPUT_PerdaAnual*G6</f>
        <v/>
      </c>
      <c r="I8" s="26" t="inlineStr">
        <is>
          <t>Payback (anos)</t>
        </is>
      </c>
      <c r="J8" s="52">
        <f>IFERROR(INPUT_Investimento/(INPUT_PerdaAnual*0.1),0)</f>
        <v/>
      </c>
    </row>
    <row r="9" ht="22" customHeight="1">
      <c r="B9" s="26" t="inlineStr">
        <is>
          <t>Em horizonte</t>
        </is>
      </c>
      <c r="C9" s="31" t="n">
        <v>2000000</v>
      </c>
      <c r="E9" s="50">
        <f>INPUT_PerdaAnual*E6*INPUT_Horizonte</f>
        <v/>
      </c>
      <c r="F9" s="51">
        <f>INPUT_PerdaAnual*F6*INPUT_Horizonte</f>
        <v/>
      </c>
      <c r="G9" s="50">
        <f>INPUT_PerdaAnual*G6*INPUT_Horizonte</f>
        <v/>
      </c>
      <c r="I9" s="26" t="inlineStr">
        <is>
          <t>ROI Anual</t>
        </is>
      </c>
      <c r="J9" s="53">
        <f>IFERROR((INPUT_PerdaAnual*0.1-INPUT_Investimento)/INPUT_Investimento,0)</f>
        <v/>
      </c>
    </row>
    <row r="10" ht="22" customHeight="1">
      <c r="B10" s="26" t="inlineStr">
        <is>
          <t>VPL (NPV)</t>
        </is>
      </c>
      <c r="C10" s="31" t="n">
        <v>80000</v>
      </c>
      <c r="E10" s="47">
        <f>NPV(INPUT_Desconto, INPUT_PerdaAnual*E6, INPUT_PerdaAnual*E6, INPUT_PerdaAnual*E6)-INPUT_Investimento</f>
        <v/>
      </c>
      <c r="F10" s="48">
        <f>NPV(INPUT_Desconto, INPUT_PerdaAnual*F6, INPUT_PerdaAnual*F6, INPUT_PerdaAnual*F6)-INPUT_Investimento</f>
        <v/>
      </c>
      <c r="G10" s="47">
        <f>NPV(INPUT_Desconto, INPUT_PerdaAnual*G6, INPUT_PerdaAnual*G6, INPUT_PerdaAnual*G6)-INPUT_Investimento</f>
        <v/>
      </c>
      <c r="I10" s="26" t="inlineStr">
        <is>
          <t>Contrato Sugerido</t>
        </is>
      </c>
      <c r="J10" s="43">
        <f>INPUT_PerdaAnual*0.1*0.3</f>
        <v/>
      </c>
    </row>
    <row r="11" ht="22" customHeight="1">
      <c r="B11" s="26" t="inlineStr">
        <is>
          <t>Payback</t>
        </is>
      </c>
      <c r="C11" s="45" t="n">
        <v>0.12</v>
      </c>
      <c r="E11" s="54">
        <f>IFERROR(INPUT_Investimento/(INPUT_PerdaAnual*E6),0)</f>
        <v/>
      </c>
      <c r="F11" s="55">
        <f>IFERROR(INPUT_Investimento/(INPUT_PerdaAnual*F6),0)</f>
        <v/>
      </c>
      <c r="G11" s="54">
        <f>IFERROR(INPUT_Investimento/(INPUT_PerdaAnual*G6),0)</f>
        <v/>
      </c>
      <c r="I11" s="26" t="inlineStr">
        <is>
          <t>Justificativa</t>
        </is>
      </c>
      <c r="J11" s="56">
        <f>IF(INPUT_PerdaAnual*0.1&gt;INPUT_Investimento,"Solucao paga-se em menos de 1 ano e protege margem operacional.","Avaliar premissas - economia inferior ao investimento.")</f>
        <v/>
      </c>
    </row>
    <row r="12" ht="20" customHeight="1">
      <c r="B12" s="26" t="inlineStr">
        <is>
          <t>ROI Anual</t>
        </is>
      </c>
      <c r="C12" s="44" t="n">
        <v>3</v>
      </c>
      <c r="E12" s="57">
        <f>IFERROR((INPUT_PerdaAnual*E6-INPUT_Investimento)/INPUT_Investimento,0)</f>
        <v/>
      </c>
      <c r="F12" s="58">
        <f>IFERROR((INPUT_PerdaAnual*F6-INPUT_Investimento)/INPUT_Investimento,0)</f>
        <v/>
      </c>
      <c r="G12" s="57">
        <f>IFERROR((INPUT_PerdaAnual*G6-INPUT_Investimento)/INPUT_Investimento,0)</f>
        <v/>
      </c>
    </row>
    <row r="13" ht="20" customHeight="1">
      <c r="B13" s="26" t="inlineStr">
        <is>
          <t>Contrato Sugerido</t>
        </is>
      </c>
      <c r="E13" s="47">
        <f>INPUT_PerdaAnual*E6*0.3</f>
        <v/>
      </c>
      <c r="F13" s="48">
        <f>INPUT_PerdaAnual*F6*0.3</f>
        <v/>
      </c>
      <c r="G13" s="47">
        <f>INPUT_PerdaAnual*G6*0.3</f>
        <v/>
      </c>
    </row>
    <row r="16" ht="26" customHeight="1">
      <c r="B16" s="5" t="inlineStr">
        <is>
          <t>Acoes do Simulador</t>
        </is>
      </c>
    </row>
    <row r="17" ht="30" customHeight="1">
      <c r="C17" s="34" t="inlineStr">
        <is>
          <t>SIMULAR CENARIOS</t>
        </is>
      </c>
      <c r="E17" s="59" t="inlineStr">
        <is>
          <t>SIMULAR MONTE CARLO</t>
        </is>
      </c>
    </row>
    <row r="30">
      <c r="B30" s="37" t="inlineStr">
        <is>
          <t>NOTA: Os valores de economia sao simulacoes a partir das premissas editaveis. Substitua os valores por dados reais da sua planta para obter projecoes confiaveis. O cenario Realista (10%) e o ponto de calibracao sugerido para apresentacao a diretoria.</t>
        </is>
      </c>
    </row>
    <row r="31"/>
    <row r="32"/>
    <row r="33"/>
  </sheetData>
  <mergeCells count="14">
    <mergeCell ref="B16:G16"/>
    <mergeCell ref="J11:K11"/>
    <mergeCell ref="J5:K5"/>
    <mergeCell ref="J6:K6"/>
    <mergeCell ref="J7:K7"/>
    <mergeCell ref="J10:K10"/>
    <mergeCell ref="A2:K2"/>
    <mergeCell ref="E4:G4"/>
    <mergeCell ref="I4:K4"/>
    <mergeCell ref="B30:K33"/>
    <mergeCell ref="J8:K8"/>
    <mergeCell ref="A1:K1"/>
    <mergeCell ref="B4:C4"/>
    <mergeCell ref="J9:K9"/>
  </mergeCells>
  <printOptions horizontalCentered="1"/>
  <pageMargins left="0.4" right="0.4" top="0.6" bottom="0.6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6" customWidth="1" min="3" max="3"/>
    <col width="26" customWidth="1" min="4" max="4"/>
    <col width="26" customWidth="1" min="5" max="5"/>
    <col width="4" customWidth="1" min="6" max="6"/>
    <col width="32" customWidth="1" min="7" max="7"/>
    <col width="22" customWidth="1" min="8" max="8"/>
  </cols>
  <sheetData>
    <row r="1" ht="38" customHeight="1">
      <c r="A1" s="1" t="inlineStr">
        <is>
          <t>EXAUSTAO 360 - MODELO COMERCIAL B2B</t>
        </is>
      </c>
    </row>
    <row r="2" ht="22" customHeight="1">
      <c r="A2" s="2" t="inlineStr">
        <is>
          <t>Proposta de valor, pacotes e calculo de ROI. Edite os campos para gerar uma proposta personalizada.</t>
        </is>
      </c>
    </row>
    <row r="4" ht="26" customHeight="1">
      <c r="B4" s="5" t="inlineStr">
        <is>
          <t>Proposta de Valor</t>
        </is>
      </c>
    </row>
    <row r="5" ht="22" customHeight="1">
      <c r="B5" s="60" t="inlineStr">
        <is>
          <t>EXAUSTAO 360 reduz perdas operacionais em sistemas industriais de exaustao por meio de gestao integrada de eventos, analise de criticidade (FMEA), MTBF/MTTR e priorizacao de planos de acao com impacto financeiro mensuravel. Cada R$ investido na solucao busca retornar entre R$ 5 e R$ 25 em economia por planta industrial - sujeito a disciplina operacional e qualidade de dados.</t>
        </is>
      </c>
    </row>
    <row r="6" ht="22" customHeight="1"/>
    <row r="7" ht="22" customHeight="1"/>
    <row r="9" ht="26" customHeight="1">
      <c r="B9" s="5" t="inlineStr">
        <is>
          <t>Problema Industrial Resolvido</t>
        </is>
      </c>
    </row>
    <row r="10" ht="18" customHeight="1">
      <c r="B10" s="61" t="inlineStr">
        <is>
          <t xml:space="preserve">  -  Falhas em fornos, dutos, bujoes e mantas geram parada nao programada.</t>
        </is>
      </c>
    </row>
    <row r="11" ht="18" customHeight="1">
      <c r="B11" s="61" t="inlineStr">
        <is>
          <t xml:space="preserve">  -  Custos invisiveis: cada hora parada custa entre R$ 10.000 e R$ 80.000 dependendo da planta.</t>
        </is>
      </c>
    </row>
    <row r="12" ht="18" customHeight="1">
      <c r="B12" s="61" t="inlineStr">
        <is>
          <t xml:space="preserve">  -  Decisoes baseadas em planilhas isoladas, sem rastreabilidade ou auditoria.</t>
        </is>
      </c>
    </row>
    <row r="13" ht="18" customHeight="1">
      <c r="B13" s="61" t="inlineStr">
        <is>
          <t xml:space="preserve">  -  Falta de evidencia de ROI dificulta aprovacao de investimentos em confiabilidade.</t>
        </is>
      </c>
    </row>
    <row r="14" ht="18" customHeight="1">
      <c r="B14" s="61" t="inlineStr">
        <is>
          <t xml:space="preserve">  -  Equipes de manutencao operam reativamente, sem priorizacao por risco financeiro.</t>
        </is>
      </c>
    </row>
    <row r="17" ht="26" customHeight="1">
      <c r="B17" s="5" t="inlineStr">
        <is>
          <t>Pacotes de Implantacao</t>
        </is>
      </c>
    </row>
    <row r="18" ht="24" customHeight="1">
      <c r="B18" s="16" t="inlineStr">
        <is>
          <t>Item</t>
        </is>
      </c>
      <c r="C18" s="16" t="inlineStr">
        <is>
          <t>Diagnostico</t>
        </is>
      </c>
      <c r="D18" s="42" t="inlineStr">
        <is>
          <t>Pro</t>
        </is>
      </c>
      <c r="E18" s="16" t="inlineStr">
        <is>
          <t>Enterprise</t>
        </is>
      </c>
    </row>
    <row r="19" ht="22" customHeight="1">
      <c r="B19" s="26" t="inlineStr">
        <is>
          <t>Escopo</t>
        </is>
      </c>
      <c r="C19" s="56" t="inlineStr">
        <is>
          <t>1 planta - diagnostico inicial</t>
        </is>
      </c>
      <c r="D19" s="62" t="inlineStr">
        <is>
          <t>1 planta - implantacao completa</t>
        </is>
      </c>
      <c r="E19" s="56" t="inlineStr">
        <is>
          <t>Multiunidade - corporativo</t>
        </is>
      </c>
    </row>
    <row r="20" ht="22" customHeight="1">
      <c r="B20" s="26" t="inlineStr">
        <is>
          <t>Duracao</t>
        </is>
      </c>
      <c r="C20" s="56" t="inlineStr">
        <is>
          <t>30 dias</t>
        </is>
      </c>
      <c r="D20" s="62" t="inlineStr">
        <is>
          <t>60 dias</t>
        </is>
      </c>
      <c r="E20" s="56" t="inlineStr">
        <is>
          <t>120 dias</t>
        </is>
      </c>
    </row>
    <row r="21" ht="22" customHeight="1">
      <c r="B21" s="26" t="inlineStr">
        <is>
          <t>Suporte</t>
        </is>
      </c>
      <c r="C21" s="56" t="inlineStr">
        <is>
          <t>30 dias</t>
        </is>
      </c>
      <c r="D21" s="62" t="inlineStr">
        <is>
          <t>12 meses</t>
        </is>
      </c>
      <c r="E21" s="56" t="inlineStr">
        <is>
          <t>24 meses + SLA</t>
        </is>
      </c>
    </row>
    <row r="22" ht="22" customHeight="1">
      <c r="B22" s="26" t="inlineStr">
        <is>
          <t>Customizacao</t>
        </is>
      </c>
      <c r="C22" s="56" t="inlineStr">
        <is>
          <t>Layout padrao</t>
        </is>
      </c>
      <c r="D22" s="62" t="inlineStr">
        <is>
          <t>Limitada</t>
        </is>
      </c>
      <c r="E22" s="56" t="inlineStr">
        <is>
          <t>Total</t>
        </is>
      </c>
    </row>
    <row r="23" ht="22" customHeight="1">
      <c r="B23" s="26" t="inlineStr">
        <is>
          <t>Treinamento</t>
        </is>
      </c>
      <c r="C23" s="56" t="inlineStr">
        <is>
          <t>1 turma</t>
        </is>
      </c>
      <c r="D23" s="62" t="inlineStr">
        <is>
          <t>3 turmas</t>
        </is>
      </c>
      <c r="E23" s="56" t="inlineStr">
        <is>
          <t>Trilha completa</t>
        </is>
      </c>
    </row>
    <row r="24" ht="22" customHeight="1">
      <c r="B24" s="26" t="inlineStr">
        <is>
          <t>Auditoria/LOG</t>
        </is>
      </c>
      <c r="C24" s="56" t="inlineStr">
        <is>
          <t>Basica</t>
        </is>
      </c>
      <c r="D24" s="62" t="inlineStr">
        <is>
          <t>Completa</t>
        </is>
      </c>
      <c r="E24" s="56" t="inlineStr">
        <is>
          <t>Multi-usuario</t>
        </is>
      </c>
    </row>
    <row r="25" ht="22" customHeight="1">
      <c r="B25" s="26" t="inlineStr">
        <is>
          <t>Modo Supervisor</t>
        </is>
      </c>
      <c r="C25" s="56" t="inlineStr">
        <is>
          <t>Sim</t>
        </is>
      </c>
      <c r="D25" s="62" t="inlineStr">
        <is>
          <t>Sim</t>
        </is>
      </c>
      <c r="E25" s="56" t="inlineStr">
        <is>
          <t>Sim + RBAC</t>
        </is>
      </c>
    </row>
    <row r="26" ht="22" customHeight="1">
      <c r="B26" s="26" t="inlineStr">
        <is>
          <t>Relatorio Executivo</t>
        </is>
      </c>
      <c r="C26" s="56" t="inlineStr">
        <is>
          <t>Mensal</t>
        </is>
      </c>
      <c r="D26" s="62" t="inlineStr">
        <is>
          <t>Mensal</t>
        </is>
      </c>
      <c r="E26" s="56" t="inlineStr">
        <is>
          <t>Quinzenal</t>
        </is>
      </c>
    </row>
    <row r="27" ht="22" customHeight="1">
      <c r="B27" s="26" t="inlineStr">
        <is>
          <t>Atualizacoes</t>
        </is>
      </c>
      <c r="C27" s="56" t="inlineStr">
        <is>
          <t>Nao incluidas</t>
        </is>
      </c>
      <c r="D27" s="62" t="inlineStr">
        <is>
          <t>Inclusas (12m)</t>
        </is>
      </c>
      <c r="E27" s="56" t="inlineStr">
        <is>
          <t>Inclusas (24m)</t>
        </is>
      </c>
    </row>
    <row r="28" ht="22" customHeight="1">
      <c r="B28" s="26" t="inlineStr">
        <is>
          <t>Preco Sugerido (R$)</t>
        </is>
      </c>
      <c r="C28" s="63">
        <f>INDEX(tbParametros[Valor],MATCH("CustoSolucaoPro",tbParametros[Parametro],0))*0.3</f>
        <v/>
      </c>
      <c r="D28" s="64">
        <f>INDEX(tbParametros[Valor],MATCH("CustoSolucaoPro",tbParametros[Parametro],0))</f>
        <v/>
      </c>
      <c r="E28" s="63">
        <f>INDEX(tbParametros[Valor],MATCH("CustoSolucaoPro",tbParametros[Parametro],0))*3</f>
        <v/>
      </c>
    </row>
    <row r="31" ht="26" customHeight="1">
      <c r="B31" s="5" t="inlineStr">
        <is>
          <t>Calculadora de ROI Personalizada</t>
        </is>
      </c>
    </row>
    <row r="33" ht="22" customHeight="1">
      <c r="B33" s="26" t="inlineStr">
        <is>
          <t>Perda anual atual da planta (R$)</t>
        </is>
      </c>
      <c r="C33" s="31" t="n">
        <v>2000000</v>
      </c>
      <c r="G33" s="26" t="inlineStr">
        <is>
          <t>Economia anual por planta</t>
        </is>
      </c>
      <c r="H33" s="65">
        <f>C33*C34</f>
        <v/>
      </c>
    </row>
    <row r="34" ht="22" customHeight="1">
      <c r="B34" s="26" t="inlineStr">
        <is>
          <t>% reducao esperada com a solucao</t>
        </is>
      </c>
      <c r="C34" s="45" t="n">
        <v>0.1</v>
      </c>
      <c r="G34" s="26" t="inlineStr">
        <is>
          <t>Economia anual em milhoes</t>
        </is>
      </c>
      <c r="H34" s="66">
        <f>C33*C34</f>
        <v/>
      </c>
    </row>
    <row r="35" ht="22" customHeight="1">
      <c r="B35" s="26" t="inlineStr">
        <is>
          <t>Preco do pacote selecionado (R$)</t>
        </is>
      </c>
      <c r="C35" s="31" t="n">
        <v>80000</v>
      </c>
      <c r="G35" s="26" t="inlineStr">
        <is>
          <t>Custo total de aquisicao</t>
        </is>
      </c>
      <c r="H35" s="65">
        <f>C35*C36</f>
        <v/>
      </c>
    </row>
    <row r="36" ht="22" customHeight="1">
      <c r="B36" s="26" t="inlineStr">
        <is>
          <t>Numero de plantas</t>
        </is>
      </c>
      <c r="C36" s="67" t="n">
        <v>1</v>
      </c>
      <c r="G36" s="26" t="inlineStr">
        <is>
          <t>Payback (anos)</t>
        </is>
      </c>
      <c r="H36" s="68">
        <f>IFERROR(C35/(C33*C34),0)</f>
        <v/>
      </c>
    </row>
    <row r="37" ht="22" customHeight="1">
      <c r="G37" s="26" t="inlineStr">
        <is>
          <t>ROI Anual</t>
        </is>
      </c>
      <c r="H37" s="69">
        <f>IFERROR((C33*C34-C35)/C35,0)</f>
        <v/>
      </c>
    </row>
    <row r="38" ht="22" customHeight="1">
      <c r="G38" s="26" t="inlineStr">
        <is>
          <t>Economia em 3 anos</t>
        </is>
      </c>
      <c r="H38" s="66">
        <f>C33*C34*3*C36</f>
        <v/>
      </c>
    </row>
    <row r="39" ht="22" customHeight="1">
      <c r="G39" s="26" t="inlineStr">
        <is>
          <t>Argumento Comercial</t>
        </is>
      </c>
      <c r="H39" s="70">
        <f>IF(C33*C34&gt;C35,"Justificavel: economia anual supera o custo da solucao.","Avaliar premissas - economia projetada e inferior ao custo.")</f>
        <v/>
      </c>
    </row>
    <row r="42" ht="26" customHeight="1">
      <c r="B42" s="5" t="inlineStr">
        <is>
          <t>Exemplo de Argumento Comercial</t>
        </is>
      </c>
    </row>
    <row r="43" ht="22" customHeight="1">
      <c r="B43" s="71" t="inlineStr">
        <is>
          <t>Se uma planta perde R$ 2.000.000/ano com falhas de exaustao e a solucao reduz apenas 10% dessas perdas, o valor recuperado e R$ 200.000/ano. Um contrato de R$ 40.000 a R$ 80.000 pode ser justificavel se houver evidencia operacional de melhoria.
IMPORTANTE: a economia real depende dos dados da planta, da disciplina operacional e da qualidade do registro. EXAUSTAO 360 fornece a infraestrutura para mensurar e comprovar essa economia.</t>
        </is>
      </c>
    </row>
    <row r="44" ht="22" customHeight="1"/>
    <row r="45" ht="22" customHeight="1"/>
    <row r="46" ht="22" customHeight="1"/>
  </sheetData>
  <mergeCells count="14">
    <mergeCell ref="B14:H14"/>
    <mergeCell ref="B17:E17"/>
    <mergeCell ref="B42:H42"/>
    <mergeCell ref="B9:H9"/>
    <mergeCell ref="B13:H13"/>
    <mergeCell ref="B43:H46"/>
    <mergeCell ref="B4:H4"/>
    <mergeCell ref="A2:H2"/>
    <mergeCell ref="B12:H12"/>
    <mergeCell ref="B10:H10"/>
    <mergeCell ref="A1:H1"/>
    <mergeCell ref="B11:H11"/>
    <mergeCell ref="B31:H31"/>
    <mergeCell ref="B5:H7"/>
  </mergeCells>
  <printOptions horizontalCentered="1"/>
  <pageMargins left="0.4" right="0.4" top="0.6" bottom="0.6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8" customHeight="1">
      <c r="A1" s="1" t="inlineStr">
        <is>
          <t>EXAUSTAO 360 - CONFIGURACOES DO SISTEMA</t>
        </is>
      </c>
    </row>
    <row r="2" ht="22" customHeight="1">
      <c r="A2" s="2" t="inlineStr">
        <is>
          <t>Parametros de negocio, fornos, componentes e tabelas auxiliares - editavel apenas em modo Supervisor</t>
        </is>
      </c>
    </row>
    <row r="4" ht="26" customHeight="1">
      <c r="B4" s="5" t="inlineStr">
        <is>
          <t>Parametros de Negocio (tbParametros)</t>
        </is>
      </c>
      <c r="F4" s="5" t="inlineStr">
        <is>
          <t>Fornos (tbFornos)</t>
        </is>
      </c>
    </row>
    <row r="5">
      <c r="B5" t="inlineStr">
        <is>
          <t>Parametro</t>
        </is>
      </c>
      <c r="C5" t="inlineStr">
        <is>
          <t>Valor</t>
        </is>
      </c>
      <c r="D5" t="inlineStr">
        <is>
          <t>Descricao</t>
        </is>
      </c>
      <c r="F5" t="inlineStr">
        <is>
          <t>ID</t>
        </is>
      </c>
      <c r="G5" t="inlineStr">
        <is>
          <t>Nome</t>
        </is>
      </c>
      <c r="H5" t="inlineStr">
        <is>
          <t>Area</t>
        </is>
      </c>
      <c r="I5" t="inlineStr">
        <is>
          <t>Capacidade (kg/h)</t>
        </is>
      </c>
      <c r="J5" t="inlineStr">
        <is>
          <t>Status</t>
        </is>
      </c>
    </row>
    <row r="6">
      <c r="B6" t="inlineStr">
        <is>
          <t>CustoHoraParada</t>
        </is>
      </c>
      <c r="C6" s="41" t="n">
        <v>25000</v>
      </c>
      <c r="D6" t="inlineStr">
        <is>
          <t>Custo medio por hora parada (R$)</t>
        </is>
      </c>
      <c r="F6" t="inlineStr">
        <is>
          <t>F-101</t>
        </is>
      </c>
      <c r="G6" t="inlineStr">
        <is>
          <t>Forno Rotativo 01</t>
        </is>
      </c>
      <c r="H6" t="inlineStr">
        <is>
          <t>Area A</t>
        </is>
      </c>
      <c r="I6" t="n">
        <v>1200</v>
      </c>
      <c r="J6" t="inlineStr">
        <is>
          <t>Operando</t>
        </is>
      </c>
    </row>
    <row r="7">
      <c r="B7" t="inlineStr">
        <is>
          <t>MetaDisponibilidade</t>
        </is>
      </c>
      <c r="C7" s="72" t="n">
        <v>0.95</v>
      </c>
      <c r="D7" t="inlineStr">
        <is>
          <t>Meta de disponibilidade da planta (%)</t>
        </is>
      </c>
      <c r="F7" t="inlineStr">
        <is>
          <t>F-102</t>
        </is>
      </c>
      <c r="G7" t="inlineStr">
        <is>
          <t>Forno Rotativo 02</t>
        </is>
      </c>
      <c r="H7" t="inlineStr">
        <is>
          <t>Area A</t>
        </is>
      </c>
      <c r="I7" t="n">
        <v>1200</v>
      </c>
      <c r="J7" t="inlineStr">
        <is>
          <t>Operando</t>
        </is>
      </c>
    </row>
    <row r="8">
      <c r="B8" t="inlineStr">
        <is>
          <t>LimiteCriticidadeAlta</t>
        </is>
      </c>
      <c r="C8" s="73" t="n">
        <v>3</v>
      </c>
      <c r="D8" t="inlineStr">
        <is>
          <t>Pontuacao a partir da qual evento e critico</t>
        </is>
      </c>
      <c r="F8" t="inlineStr">
        <is>
          <t>F-201</t>
        </is>
      </c>
      <c r="G8" t="inlineStr">
        <is>
          <t>Forno Tunel 01</t>
        </is>
      </c>
      <c r="H8" t="inlineStr">
        <is>
          <t>Area B</t>
        </is>
      </c>
      <c r="I8" t="n">
        <v>800</v>
      </c>
      <c r="J8" t="inlineStr">
        <is>
          <t>Operando</t>
        </is>
      </c>
    </row>
    <row r="9">
      <c r="B9" t="inlineStr">
        <is>
          <t>Moeda</t>
        </is>
      </c>
      <c r="C9" t="inlineStr">
        <is>
          <t>BRL</t>
        </is>
      </c>
      <c r="D9" t="inlineStr">
        <is>
          <t>Moeda padrao do sistema</t>
        </is>
      </c>
      <c r="F9" t="inlineStr">
        <is>
          <t>F-202</t>
        </is>
      </c>
      <c r="G9" t="inlineStr">
        <is>
          <t>Forno Tunel 02</t>
        </is>
      </c>
      <c r="H9" t="inlineStr">
        <is>
          <t>Area B</t>
        </is>
      </c>
      <c r="I9" t="n">
        <v>800</v>
      </c>
      <c r="J9" t="inlineStr">
        <is>
          <t>Em manutencao</t>
        </is>
      </c>
    </row>
    <row r="10">
      <c r="B10" t="inlineStr">
        <is>
          <t>Planta</t>
        </is>
      </c>
      <c r="C10" t="inlineStr">
        <is>
          <t>Planta Industrial 01</t>
        </is>
      </c>
      <c r="D10" t="inlineStr">
        <is>
          <t>Identificacao da planta</t>
        </is>
      </c>
      <c r="F10" t="inlineStr">
        <is>
          <t>F-301</t>
        </is>
      </c>
      <c r="G10" t="inlineStr">
        <is>
          <t>Forno Reverbero 01</t>
        </is>
      </c>
      <c r="H10" t="inlineStr">
        <is>
          <t>Area C</t>
        </is>
      </c>
      <c r="I10" t="n">
        <v>1500</v>
      </c>
      <c r="J10" t="inlineStr">
        <is>
          <t>Operando</t>
        </is>
      </c>
    </row>
    <row r="11">
      <c r="B11" t="inlineStr">
        <is>
          <t>AreaResponsavel</t>
        </is>
      </c>
      <c r="C11" t="inlineStr">
        <is>
          <t>Engenharia de Confiabilidade</t>
        </is>
      </c>
      <c r="D11" t="inlineStr">
        <is>
          <t>Area responsavel</t>
        </is>
      </c>
      <c r="F11" t="inlineStr">
        <is>
          <t>F-302</t>
        </is>
      </c>
      <c r="G11" t="inlineStr">
        <is>
          <t>Forno Reverbero 02</t>
        </is>
      </c>
      <c r="H11" t="inlineStr">
        <is>
          <t>Area C</t>
        </is>
      </c>
      <c r="I11" t="n">
        <v>1500</v>
      </c>
      <c r="J11" t="inlineStr">
        <is>
          <t>Operando</t>
        </is>
      </c>
    </row>
    <row r="12">
      <c r="B12" t="inlineStr">
        <is>
          <t>VersaoSistema</t>
        </is>
      </c>
      <c r="C12" t="inlineStr">
        <is>
          <t>1.0.0 ENTERPRISE PRO</t>
        </is>
      </c>
      <c r="D12" t="inlineStr">
        <is>
          <t>Versao do sistema</t>
        </is>
      </c>
    </row>
    <row r="13" ht="26" customHeight="1">
      <c r="B13" t="inlineStr">
        <is>
          <t>HorasOperacionalDia</t>
        </is>
      </c>
      <c r="C13" s="73" t="n">
        <v>24</v>
      </c>
      <c r="D13" t="inlineStr">
        <is>
          <t>Horas de operacao por dia</t>
        </is>
      </c>
      <c r="F13" s="5" t="inlineStr">
        <is>
          <t>Categorias (tbCategorias)</t>
        </is>
      </c>
    </row>
    <row r="14">
      <c r="B14" t="inlineStr">
        <is>
          <t>DiasOperacionalAno</t>
        </is>
      </c>
      <c r="C14" s="73" t="n">
        <v>330</v>
      </c>
      <c r="D14" t="inlineStr">
        <is>
          <t>Dias de operacao por ano</t>
        </is>
      </c>
      <c r="F14" t="inlineStr">
        <is>
          <t>Categoria</t>
        </is>
      </c>
      <c r="G14" t="inlineStr">
        <is>
          <t>Descricao</t>
        </is>
      </c>
    </row>
    <row r="15">
      <c r="B15" t="inlineStr">
        <is>
          <t>TaxaDescontoAnual</t>
        </is>
      </c>
      <c r="C15" s="72" t="n">
        <v>0.12</v>
      </c>
      <c r="D15" t="inlineStr">
        <is>
          <t>Taxa de desconto anual para VPL</t>
        </is>
      </c>
      <c r="F15" t="inlineStr">
        <is>
          <t>Mecanica</t>
        </is>
      </c>
      <c r="G15" t="inlineStr">
        <is>
          <t>Falha mecanica de equipamento</t>
        </is>
      </c>
    </row>
    <row r="16">
      <c r="B16" t="inlineStr">
        <is>
          <t>MetaMTBF</t>
        </is>
      </c>
      <c r="C16" s="73" t="n">
        <v>720</v>
      </c>
      <c r="D16" t="inlineStr">
        <is>
          <t>Meta de MTBF em horas</t>
        </is>
      </c>
      <c r="F16" t="inlineStr">
        <is>
          <t>Eletrica</t>
        </is>
      </c>
      <c r="G16" t="inlineStr">
        <is>
          <t>Falha eletrica ou eletronica</t>
        </is>
      </c>
    </row>
    <row r="17">
      <c r="B17" t="inlineStr">
        <is>
          <t>MetaMTTR</t>
        </is>
      </c>
      <c r="C17" s="73" t="n">
        <v>4</v>
      </c>
      <c r="D17" t="inlineStr">
        <is>
          <t>Meta de MTTR em horas</t>
        </is>
      </c>
      <c r="F17" t="inlineStr">
        <is>
          <t>Operacional</t>
        </is>
      </c>
      <c r="G17" t="inlineStr">
        <is>
          <t>Erro ou desvio operacional</t>
        </is>
      </c>
    </row>
    <row r="18">
      <c r="B18" t="inlineStr">
        <is>
          <t>CustoSolucaoPro</t>
        </is>
      </c>
      <c r="C18" s="41" t="n">
        <v>80000</v>
      </c>
      <c r="D18" t="inlineStr">
        <is>
          <t>Custo do pacote PRO (R$)</t>
        </is>
      </c>
      <c r="F18" t="inlineStr">
        <is>
          <t>Refratario</t>
        </is>
      </c>
      <c r="G18" t="inlineStr">
        <is>
          <t>Desgaste de revestimento refratario</t>
        </is>
      </c>
    </row>
    <row r="19">
      <c r="B19" t="inlineStr">
        <is>
          <t>PercentualReducaoEsperada</t>
        </is>
      </c>
      <c r="C19" s="72" t="n">
        <v>0.1</v>
      </c>
      <c r="D19" t="inlineStr">
        <is>
          <t>Reducao esperada de perdas (%)</t>
        </is>
      </c>
      <c r="F19" t="inlineStr">
        <is>
          <t>Termica</t>
        </is>
      </c>
      <c r="G19" t="inlineStr">
        <is>
          <t>Problema termico ou de combustao</t>
        </is>
      </c>
    </row>
    <row r="20">
      <c r="F20" t="inlineStr">
        <is>
          <t>Instrumentacao</t>
        </is>
      </c>
      <c r="G20" t="inlineStr">
        <is>
          <t>Problema em sensores e instrumentacao</t>
        </is>
      </c>
    </row>
    <row r="21" ht="26" customHeight="1">
      <c r="B21" s="5" t="inlineStr">
        <is>
          <t>Tipos de Evento (tbTiposEvento)</t>
        </is>
      </c>
    </row>
    <row r="22">
      <c r="B22" t="inlineStr">
        <is>
          <t>Tipo</t>
        </is>
      </c>
      <c r="C22" t="inlineStr">
        <is>
          <t>Categoria</t>
        </is>
      </c>
      <c r="D22" t="inlineStr">
        <is>
          <t>ImpactoBase</t>
        </is>
      </c>
    </row>
    <row r="23" ht="26" customHeight="1">
      <c r="B23" t="inlineStr">
        <is>
          <t>Falha</t>
        </is>
      </c>
      <c r="C23" t="inlineStr">
        <is>
          <t>Corretiva</t>
        </is>
      </c>
      <c r="D23" t="n">
        <v>5</v>
      </c>
      <c r="F23" s="5" t="inlineStr">
        <is>
          <t>Operadores (tbOperadores)</t>
        </is>
      </c>
    </row>
    <row r="24">
      <c r="B24" t="inlineStr">
        <is>
          <t>Parada Programada</t>
        </is>
      </c>
      <c r="C24" t="inlineStr">
        <is>
          <t>Preventiva</t>
        </is>
      </c>
      <c r="D24" t="n">
        <v>1</v>
      </c>
      <c r="F24" t="inlineStr">
        <is>
          <t>ID</t>
        </is>
      </c>
      <c r="G24" t="inlineStr">
        <is>
          <t>Nome</t>
        </is>
      </c>
      <c r="H24" t="inlineStr">
        <is>
          <t>Turno</t>
        </is>
      </c>
      <c r="I24" t="inlineStr">
        <is>
          <t>Area</t>
        </is>
      </c>
    </row>
    <row r="25">
      <c r="B25" t="inlineStr">
        <is>
          <t>Inspecao</t>
        </is>
      </c>
      <c r="C25" t="inlineStr">
        <is>
          <t>Preditiva</t>
        </is>
      </c>
      <c r="D25" t="n">
        <v>1</v>
      </c>
      <c r="F25" t="inlineStr">
        <is>
          <t>OP-01</t>
        </is>
      </c>
      <c r="G25" t="inlineStr">
        <is>
          <t>Carlos Silva</t>
        </is>
      </c>
      <c r="H25" t="inlineStr">
        <is>
          <t>A</t>
        </is>
      </c>
      <c r="I25" t="inlineStr">
        <is>
          <t>Manutencao</t>
        </is>
      </c>
    </row>
    <row r="26">
      <c r="B26" t="inlineStr">
        <is>
          <t>Troca de Componente</t>
        </is>
      </c>
      <c r="C26" t="inlineStr">
        <is>
          <t>Preventiva</t>
        </is>
      </c>
      <c r="D26" t="n">
        <v>3</v>
      </c>
      <c r="F26" t="inlineStr">
        <is>
          <t>OP-02</t>
        </is>
      </c>
      <c r="G26" t="inlineStr">
        <is>
          <t>Ana Costa</t>
        </is>
      </c>
      <c r="H26" t="inlineStr">
        <is>
          <t>B</t>
        </is>
      </c>
      <c r="I26" t="inlineStr">
        <is>
          <t>Operacao</t>
        </is>
      </c>
    </row>
    <row r="27">
      <c r="B27" t="inlineStr">
        <is>
          <t>Reparo</t>
        </is>
      </c>
      <c r="C27" t="inlineStr">
        <is>
          <t>Corretiva</t>
        </is>
      </c>
      <c r="D27" t="n">
        <v>4</v>
      </c>
      <c r="F27" t="inlineStr">
        <is>
          <t>OP-03</t>
        </is>
      </c>
      <c r="G27" t="inlineStr">
        <is>
          <t>Joao Santos</t>
        </is>
      </c>
      <c r="H27" t="inlineStr">
        <is>
          <t>C</t>
        </is>
      </c>
      <c r="I27" t="inlineStr">
        <is>
          <t>Manutencao</t>
        </is>
      </c>
    </row>
    <row r="28">
      <c r="B28" t="inlineStr">
        <is>
          <t>Limpeza</t>
        </is>
      </c>
      <c r="C28" t="inlineStr">
        <is>
          <t>Operacional</t>
        </is>
      </c>
      <c r="D28" t="n">
        <v>1</v>
      </c>
      <c r="F28" t="inlineStr">
        <is>
          <t>OP-04</t>
        </is>
      </c>
      <c r="G28" t="inlineStr">
        <is>
          <t>Maria Oliveira</t>
        </is>
      </c>
      <c r="H28" t="inlineStr">
        <is>
          <t>A</t>
        </is>
      </c>
      <c r="I28" t="inlineStr">
        <is>
          <t>Engenharia</t>
        </is>
      </c>
    </row>
    <row r="29">
      <c r="B29" t="inlineStr">
        <is>
          <t>Calibracao</t>
        </is>
      </c>
      <c r="C29" t="inlineStr">
        <is>
          <t>Preditiva</t>
        </is>
      </c>
      <c r="D29" t="n">
        <v>2</v>
      </c>
      <c r="F29" t="inlineStr">
        <is>
          <t>OP-05</t>
        </is>
      </c>
      <c r="G29" t="inlineStr">
        <is>
          <t>Pedro Almeida</t>
        </is>
      </c>
      <c r="H29" t="inlineStr">
        <is>
          <t>B</t>
        </is>
      </c>
      <c r="I29" t="inlineStr">
        <is>
          <t>Operacao</t>
        </is>
      </c>
    </row>
    <row r="30">
      <c r="F30" t="inlineStr">
        <is>
          <t>OP-06</t>
        </is>
      </c>
      <c r="G30" t="inlineStr">
        <is>
          <t>Lucia Ferreira</t>
        </is>
      </c>
      <c r="H30" t="inlineStr">
        <is>
          <t>C</t>
        </is>
      </c>
      <c r="I30" t="inlineStr">
        <is>
          <t>Engenharia</t>
        </is>
      </c>
    </row>
    <row r="32" ht="26" customHeight="1">
      <c r="B32" s="5" t="inlineStr">
        <is>
          <t>Componentes (tbComponentes)</t>
        </is>
      </c>
    </row>
    <row r="33" ht="26" customHeight="1">
      <c r="B33" t="inlineStr">
        <is>
          <t>ID</t>
        </is>
      </c>
      <c r="C33" t="inlineStr">
        <is>
          <t>Nome</t>
        </is>
      </c>
      <c r="D33" t="inlineStr">
        <is>
          <t>Tipo</t>
        </is>
      </c>
      <c r="E33" t="inlineStr">
        <is>
          <t>VidaUtilMeses</t>
        </is>
      </c>
      <c r="F33" s="5" t="inlineStr">
        <is>
          <t>Criticidades (tbCriticidades)</t>
        </is>
      </c>
    </row>
    <row r="34">
      <c r="B34" t="inlineStr">
        <is>
          <t>C-TUB</t>
        </is>
      </c>
      <c r="C34" t="inlineStr">
        <is>
          <t>Tubulacao</t>
        </is>
      </c>
      <c r="D34" t="inlineStr">
        <is>
          <t>Tubulacao</t>
        </is>
      </c>
      <c r="E34" t="n">
        <v>60</v>
      </c>
      <c r="F34" t="inlineStr">
        <is>
          <t>Nivel</t>
        </is>
      </c>
      <c r="G34" t="inlineStr">
        <is>
          <t>Pontuacao</t>
        </is>
      </c>
      <c r="H34" t="inlineStr">
        <is>
          <t>Descricao</t>
        </is>
      </c>
    </row>
    <row r="35">
      <c r="B35" t="inlineStr">
        <is>
          <t>C-BUJ</t>
        </is>
      </c>
      <c r="C35" t="inlineStr">
        <is>
          <t>Bujao Refratario</t>
        </is>
      </c>
      <c r="D35" t="inlineStr">
        <is>
          <t>Bujao</t>
        </is>
      </c>
      <c r="E35" t="n">
        <v>36</v>
      </c>
      <c r="F35" t="inlineStr">
        <is>
          <t>Baixa</t>
        </is>
      </c>
      <c r="G35" t="n">
        <v>1</v>
      </c>
      <c r="H35" t="inlineStr">
        <is>
          <t>Sem impacto significativo</t>
        </is>
      </c>
    </row>
    <row r="36">
      <c r="B36" t="inlineStr">
        <is>
          <t>C-MAR</t>
        </is>
      </c>
      <c r="C36" t="inlineStr">
        <is>
          <t>Marmita</t>
        </is>
      </c>
      <c r="D36" t="inlineStr">
        <is>
          <t>Marmita</t>
        </is>
      </c>
      <c r="E36" t="n">
        <v>48</v>
      </c>
      <c r="F36" t="inlineStr">
        <is>
          <t>Media</t>
        </is>
      </c>
      <c r="G36" t="n">
        <v>2</v>
      </c>
      <c r="H36" t="inlineStr">
        <is>
          <t>Impacto controlado em produtividade</t>
        </is>
      </c>
    </row>
    <row r="37">
      <c r="B37" t="inlineStr">
        <is>
          <t>C-MAN</t>
        </is>
      </c>
      <c r="C37" t="inlineStr">
        <is>
          <t>Manta Isolante</t>
        </is>
      </c>
      <c r="D37" t="inlineStr">
        <is>
          <t>Manta</t>
        </is>
      </c>
      <c r="E37" t="n">
        <v>24</v>
      </c>
      <c r="F37" t="inlineStr">
        <is>
          <t>Alta</t>
        </is>
      </c>
      <c r="G37" t="n">
        <v>3</v>
      </c>
      <c r="H37" t="inlineStr">
        <is>
          <t>Impacto relevante - acao em 24h</t>
        </is>
      </c>
    </row>
    <row r="38">
      <c r="B38" t="inlineStr">
        <is>
          <t>C-QUE</t>
        </is>
      </c>
      <c r="C38" t="inlineStr">
        <is>
          <t>Queimador</t>
        </is>
      </c>
      <c r="D38" t="inlineStr">
        <is>
          <t>Queimador</t>
        </is>
      </c>
      <c r="E38" t="n">
        <v>72</v>
      </c>
      <c r="F38" t="inlineStr">
        <is>
          <t>Critica</t>
        </is>
      </c>
      <c r="G38" t="n">
        <v>4</v>
      </c>
      <c r="H38" t="inlineStr">
        <is>
          <t>Parada nao programada - acao imediata</t>
        </is>
      </c>
    </row>
    <row r="39">
      <c r="B39" t="inlineStr">
        <is>
          <t>C-VEN</t>
        </is>
      </c>
      <c r="C39" t="inlineStr">
        <is>
          <t>Ventilador de Exaustao</t>
        </is>
      </c>
      <c r="D39" t="inlineStr">
        <is>
          <t>Ventilador</t>
        </is>
      </c>
      <c r="E39" t="n">
        <v>84</v>
      </c>
    </row>
    <row r="40">
      <c r="B40" t="inlineStr">
        <is>
          <t>C-DAM</t>
        </is>
      </c>
      <c r="C40" t="inlineStr">
        <is>
          <t>Damper</t>
        </is>
      </c>
      <c r="D40" t="inlineStr">
        <is>
          <t>Damper</t>
        </is>
      </c>
      <c r="E40" t="n">
        <v>60</v>
      </c>
    </row>
    <row r="41">
      <c r="B41" t="inlineStr">
        <is>
          <t>C-SEN</t>
        </is>
      </c>
      <c r="C41" t="inlineStr">
        <is>
          <t>Sensor de Temperatura</t>
        </is>
      </c>
      <c r="D41" t="inlineStr">
        <is>
          <t>Instrumentacao</t>
        </is>
      </c>
      <c r="E41" t="n">
        <v>36</v>
      </c>
    </row>
    <row r="44" ht="26" customHeight="1">
      <c r="B44" s="5" t="inlineStr">
        <is>
          <t>Turnos (tbTurnos)</t>
        </is>
      </c>
    </row>
    <row r="45">
      <c r="B45" t="inlineStr">
        <is>
          <t>Turno</t>
        </is>
      </c>
      <c r="C45" t="inlineStr">
        <is>
          <t>Inicio</t>
        </is>
      </c>
      <c r="D45" t="inlineStr">
        <is>
          <t>Fim</t>
        </is>
      </c>
    </row>
    <row r="46">
      <c r="B46" t="inlineStr">
        <is>
          <t>A</t>
        </is>
      </c>
      <c r="C46" t="inlineStr">
        <is>
          <t>06:00</t>
        </is>
      </c>
      <c r="D46" t="inlineStr">
        <is>
          <t>14:00</t>
        </is>
      </c>
    </row>
    <row r="47">
      <c r="B47" t="inlineStr">
        <is>
          <t>B</t>
        </is>
      </c>
      <c r="C47" t="inlineStr">
        <is>
          <t>14:00</t>
        </is>
      </c>
      <c r="D47" t="inlineStr">
        <is>
          <t>22:00</t>
        </is>
      </c>
    </row>
    <row r="48">
      <c r="B48" t="inlineStr">
        <is>
          <t>C</t>
        </is>
      </c>
      <c r="C48" t="inlineStr">
        <is>
          <t>22:00</t>
        </is>
      </c>
      <c r="D48" t="inlineStr">
        <is>
          <t>06:00</t>
        </is>
      </c>
    </row>
    <row r="51" ht="26" customHeight="1">
      <c r="B51" s="5" t="inlineStr">
        <is>
          <t>Regras de Risco (tbRegrasRisco)</t>
        </is>
      </c>
    </row>
    <row r="52">
      <c r="B52" t="inlineStr">
        <is>
          <t>Regra</t>
        </is>
      </c>
      <c r="C52" t="inlineStr">
        <is>
          <t>Condicao</t>
        </is>
      </c>
      <c r="D52" t="inlineStr">
        <is>
          <t>NivelRisco</t>
        </is>
      </c>
      <c r="E52" t="inlineStr">
        <is>
          <t>AcaoRecomendada</t>
        </is>
      </c>
    </row>
    <row r="53">
      <c r="B53" t="inlineStr">
        <is>
          <t>MTBF baixo</t>
        </is>
      </c>
      <c r="C53" t="inlineStr">
        <is>
          <t>MTBF &lt; 200 h</t>
        </is>
      </c>
      <c r="D53" t="inlineStr">
        <is>
          <t>Alta</t>
        </is>
      </c>
      <c r="E53" t="inlineStr">
        <is>
          <t>Investigar componente</t>
        </is>
      </c>
    </row>
    <row r="54">
      <c r="B54" t="inlineStr">
        <is>
          <t>MTTR alto</t>
        </is>
      </c>
      <c r="C54" t="inlineStr">
        <is>
          <t>MTTR &gt; 6 h</t>
        </is>
      </c>
      <c r="D54" t="inlineStr">
        <is>
          <t>Alta</t>
        </is>
      </c>
      <c r="E54" t="inlineStr">
        <is>
          <t>Revisar plano de manutencao</t>
        </is>
      </c>
    </row>
    <row r="55">
      <c r="B55" t="inlineStr">
        <is>
          <t>Disponibilidade baixa</t>
        </is>
      </c>
      <c r="C55" t="inlineStr">
        <is>
          <t>Disponibilidade &lt; 90%</t>
        </is>
      </c>
      <c r="D55" t="inlineStr">
        <is>
          <t>Critica</t>
        </is>
      </c>
      <c r="E55" t="inlineStr">
        <is>
          <t>Plano de acao imediato</t>
        </is>
      </c>
    </row>
    <row r="56">
      <c r="B56" t="inlineStr">
        <is>
          <t>Recorrencia</t>
        </is>
      </c>
      <c r="C56" t="inlineStr">
        <is>
          <t>Mesmo componente &gt; 3x/mes</t>
        </is>
      </c>
      <c r="D56" t="inlineStr">
        <is>
          <t>Critica</t>
        </is>
      </c>
      <c r="E56" t="inlineStr">
        <is>
          <t>Substituicao programada</t>
        </is>
      </c>
    </row>
    <row r="57">
      <c r="B57" t="inlineStr">
        <is>
          <t>Custo alto</t>
        </is>
      </c>
      <c r="C57" t="inlineStr">
        <is>
          <t>Custo evento &gt; R$ 50.000</t>
        </is>
      </c>
      <c r="D57" t="inlineStr">
        <is>
          <t>Alta</t>
        </is>
      </c>
      <c r="E57" t="inlineStr">
        <is>
          <t>Analise causa raiz</t>
        </is>
      </c>
    </row>
  </sheetData>
  <mergeCells count="11">
    <mergeCell ref="F33:H33"/>
    <mergeCell ref="B4:D4"/>
    <mergeCell ref="A2:K2"/>
    <mergeCell ref="B21:D21"/>
    <mergeCell ref="B44:D44"/>
    <mergeCell ref="F13:G13"/>
    <mergeCell ref="B51:E51"/>
    <mergeCell ref="F23:I23"/>
    <mergeCell ref="A1:K1"/>
    <mergeCell ref="F4:J4"/>
    <mergeCell ref="B32:E32"/>
  </mergeCells>
  <printOptions horizontalCentered="1"/>
  <pageMargins left="0.4" right="0.4" top="0.6" bottom="0.6" header="0.5" footer="0.5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18" customWidth="1" min="4" max="4"/>
    <col width="16" customWidth="1" min="5" max="5"/>
    <col width="28" customWidth="1" min="6" max="6"/>
  </cols>
  <sheetData>
    <row r="1" ht="28" customHeight="1">
      <c r="A1" s="1" t="inlineStr">
        <is>
          <t>EXAUSTAO 360 - LOG DE AUDITORIA</t>
        </is>
      </c>
    </row>
    <row r="3">
      <c r="A3" t="inlineStr">
        <is>
          <t>DataHora</t>
        </is>
      </c>
      <c r="B3" t="inlineStr">
        <is>
          <t>Usuario</t>
        </is>
      </c>
      <c r="C3" t="inlineStr">
        <is>
          <t>Acao</t>
        </is>
      </c>
      <c r="D3" t="inlineStr">
        <is>
          <t>Aba</t>
        </is>
      </c>
      <c r="E3" t="inlineStr">
        <is>
          <t>Registro</t>
        </is>
      </c>
      <c r="F3" t="inlineStr">
        <is>
          <t>Resultado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EXAUSTAO 360 PRO</dc:creator>
  <dc:title>EXAUSTAO 360 ENTERPRISE PRO</dc:title>
  <dc:description>Solucao B2B de gestao de confiabilidade para sistemas industriais de exaustao - dashboard executivo, analise FMEA, simulador de ROI.</dc:description>
  <dc:subject>Confiabilidade Industrial - Exaustao</dc:subject>
  <dcterms:created xsi:type="dcterms:W3CDTF">2026-05-01T19:23:39Z</dcterms:created>
  <dcterms:modified xsi:type="dcterms:W3CDTF">2026-05-01T19:23:39Z</dcterms:modified>
  <cp:keywords>confiabilidade,manutencao,FMEA,MTBF,MTTR,ROI,industrial</cp:keywords>
</cp:coreProperties>
</file>