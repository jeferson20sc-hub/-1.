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gistro" sheetId="2" state="visible" r:id="rId2"/>
    <sheet name="Filtros" sheetId="3" state="visible" r:id="rId3"/>
    <sheet name="_Dado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dd/mm"/>
    <numFmt numFmtId="167" formatCode="yyyy-mm-dd"/>
    <numFmt numFmtId="168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  <font>
      <name val="Calibri"/>
      <b val="1"/>
      <color rgb="00FFFFFF"/>
      <sz val="20"/>
    </font>
    <font>
      <name val="Calibri"/>
      <b val="1"/>
      <color rgb="00595959"/>
      <sz val="11"/>
    </font>
    <font>
      <name val="Calibri"/>
      <b val="1"/>
      <color rgb="00000000"/>
      <sz val="12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color rgb="00FFFFFF"/>
      <sz val="22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1F4E78"/>
      <sz val="20"/>
    </font>
    <font>
      <name val="Calibri"/>
      <b val="1"/>
      <color rgb="002E75B6"/>
      <sz val="20"/>
    </font>
    <font>
      <name val="Calibri"/>
      <b val="1"/>
      <color rgb="00C00000"/>
      <sz val="20"/>
    </font>
    <font>
      <name val="Calibri"/>
      <b val="1"/>
      <color rgb="00548235"/>
      <sz val="20"/>
    </font>
    <font>
      <name val="Calibri"/>
      <b val="1"/>
      <color rgb="001F4E78"/>
      <sz val="12"/>
    </font>
    <font>
      <name val="Calibri"/>
      <b val="1"/>
      <color rgb="00595959"/>
      <sz val="10"/>
    </font>
    <font>
      <i val="1"/>
      <color rgb="00808080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EAEA"/>
      </patternFill>
    </fill>
    <fill>
      <patternFill patternType="solid">
        <fgColor rgb="00FFFFFF"/>
      </patternFill>
    </fill>
    <fill>
      <patternFill patternType="solid">
        <fgColor rgb="00548235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2E75B6"/>
      </patternFill>
    </fill>
    <fill>
      <patternFill patternType="solid">
        <fgColor rgb="00BF9000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medium">
        <color rgb="00548235"/>
      </left>
      <right style="medium">
        <color rgb="00548235"/>
      </right>
      <top style="medium">
        <color rgb="00548235"/>
      </top>
      <bottom style="medium">
        <color rgb="00548235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BF9000"/>
      </left>
      <right style="medium">
        <color rgb="00BF9000"/>
      </right>
      <top style="medium">
        <color rgb="00BF9000"/>
      </top>
      <bottom style="medium">
        <color rgb="00BF900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11" borderId="8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0" fontId="17" fillId="4" borderId="8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165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0" fontId="1" fillId="9" borderId="6" applyAlignment="1" pivotButton="0" quotePrefix="0" xfId="0">
      <alignment horizontal="center" vertical="center"/>
    </xf>
    <xf numFmtId="0" fontId="1" fillId="10" borderId="7" applyAlignment="1" pivotButton="0" quotePrefix="0" xfId="0">
      <alignment horizontal="center" vertical="center"/>
    </xf>
    <xf numFmtId="0" fontId="1" fillId="11" borderId="8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168" fontId="1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F8F8"/>
        </patternFill>
      </fill>
    </dxf>
    <dxf>
      <font>
        <b val="1"/>
        <color rgb="002E75B6"/>
      </font>
    </dxf>
    <dxf>
      <font>
        <b val="1"/>
        <color rgb="00BF9000"/>
      </font>
    </dxf>
    <dxf>
      <font>
        <b val="1"/>
        <color rgb="00C00000"/>
      </font>
    </dxf>
    <dxf>
      <font>
        <b val="1"/>
        <color rgb="0054823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1"/>
  <chart>
    <plotArea>
      <barChart>
        <barDir val="col"/>
        <grouping val="clustered"/>
        <ser>
          <idx val="0"/>
          <order val="0"/>
          <tx>
            <strRef>
              <f>'_Dados'!L1</f>
            </strRef>
          </tx>
          <spPr>
            <a:ln>
              <a:prstDash val="solid"/>
            </a:ln>
          </spPr>
          <cat>
            <numRef>
              <f>'_Dados'!$J$2:$J$13</f>
            </numRef>
          </cat>
          <val>
            <numRef>
              <f>'_Dados'!$L$2:$L$13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plotArea>
      <barChart>
        <barDir val="bar"/>
        <grouping val="clustered"/>
        <ser>
          <idx val="0"/>
          <order val="0"/>
          <tx>
            <strRef>
              <f>'_Dados'!O1</f>
            </strRef>
          </tx>
          <spPr>
            <a:ln>
              <a:prstDash val="solid"/>
            </a:ln>
          </spPr>
          <cat>
            <numRef>
              <f>'_Dados'!$N$2:$N$11</f>
            </numRef>
          </cat>
          <val>
            <numRef>
              <f>'_Dados'!$O$2:$O$11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'_Dados'!R1</f>
            </strRef>
          </tx>
          <spPr>
            <a:ln>
              <a:prstDash val="solid"/>
            </a:ln>
          </spPr>
          <cat>
            <numRef>
              <f>'_Dados'!$Q$2:$Q$5</f>
            </numRef>
          </cat>
          <val>
            <numRef>
              <f>'_Dados'!$R$2:$R$5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9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9</row>
      <rowOff>0</rowOff>
    </from>
    <ext cx="28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Fornos" displayName="tblFornos" ref="A1:E13" headerRowCount="1">
  <autoFilter ref="A1:E13"/>
  <tableColumns count="5">
    <tableColumn id="1" name="ID"/>
    <tableColumn id="2" name="Data"/>
    <tableColumn id="3" name="Forno"/>
    <tableColumn id="4" name="Tipo"/>
    <tableColumn id="5" name="L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M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3" customWidth="1" min="6" max="6"/>
    <col width="17" customWidth="1" min="7" max="7"/>
    <col width="17" customWidth="1" min="8" max="8"/>
    <col width="17" customWidth="1" min="9" max="9"/>
    <col width="17" customWidth="1" min="10" max="10"/>
    <col width="3" customWidth="1" min="11" max="11"/>
    <col width="17" customWidth="1" min="12" max="12"/>
    <col width="17" customWidth="1" min="13" max="13"/>
  </cols>
  <sheetData>
    <row r="2" ht="42" customHeight="1">
      <c r="B2" s="1" t="inlineStr">
        <is>
          <t>DASHBOARD - CONTROLE DE FORNOS</t>
        </is>
      </c>
    </row>
    <row r="3" ht="18" customHeight="1">
      <c r="B3" s="2">
        <f>" Atualizado em "&amp;TEXT(TODAY(),"dd/mm/yyyy")&amp;"  -  Total: "&amp;COUNTA(tblFornos[ID])&amp;" registros"</f>
        <v/>
      </c>
    </row>
    <row r="5" ht="22" customHeight="1">
      <c r="B5" s="3" t="inlineStr">
        <is>
          <t>TOTAL REGISTROS</t>
        </is>
      </c>
      <c r="D5" s="4" t="inlineStr">
        <is>
          <t>FORNOS DISTINTOS</t>
        </is>
      </c>
      <c r="G5" s="5" t="inlineStr">
        <is>
          <t>FALHAS</t>
        </is>
      </c>
      <c r="I5" s="6" t="inlineStr">
        <is>
          <t>OPERACOES</t>
        </is>
      </c>
      <c r="L5" s="3" t="inlineStr">
        <is>
          <t>MES + ATIVO</t>
        </is>
      </c>
    </row>
    <row r="6" ht="24" customHeight="1">
      <c r="B6" s="7">
        <f>COUNTA(tblFornos[ID])</f>
        <v/>
      </c>
      <c r="D6" s="8">
        <f>SUMPRODUCT((tblFornos[Forno]&lt;&gt;"")/COUNTIF(tblFornos[Forno],tblFornos[Forno]&amp;""))</f>
        <v/>
      </c>
      <c r="G6" s="9">
        <f>COUNTIFS(tblFornos[Tipo],"Falha")</f>
        <v/>
      </c>
      <c r="I6" s="10">
        <f>COUNTIFS(tblFornos[Tipo],"Operacao")</f>
        <v/>
      </c>
      <c r="L6" s="7">
        <f>IFERROR(INDEX(_Dados!J2:J13,MATCH(MAX(_Dados!L2:L13),_Dados!L2:L13,0)),"-")</f>
        <v/>
      </c>
    </row>
    <row r="7" ht="24" customHeight="1"/>
    <row r="9" ht="22" customHeight="1">
      <c r="B9" s="11" t="inlineStr">
        <is>
          <t>REGISTROS POR MES</t>
        </is>
      </c>
      <c r="G9" s="11" t="inlineStr">
        <is>
          <t>TOP 10 DIAS COM MAIS REGISTROS</t>
        </is>
      </c>
      <c r="L9" s="11" t="inlineStr">
        <is>
          <t>POR TIPO</t>
        </is>
      </c>
    </row>
    <row r="26" ht="22" customHeight="1">
      <c r="B26" s="12" t="inlineStr">
        <is>
          <t>RESUMO POR MES E TIPO</t>
        </is>
      </c>
    </row>
    <row r="27">
      <c r="B27" s="13" t="inlineStr">
        <is>
          <t>Mes</t>
        </is>
      </c>
      <c r="C27" s="13" t="inlineStr">
        <is>
          <t>Operacao</t>
        </is>
      </c>
      <c r="E27" s="13" t="inlineStr">
        <is>
          <t>Manutencao</t>
        </is>
      </c>
      <c r="G27" s="13" t="inlineStr">
        <is>
          <t>Falha</t>
        </is>
      </c>
      <c r="I27" s="13" t="inlineStr">
        <is>
          <t>Inspecao</t>
        </is>
      </c>
      <c r="L27" s="13" t="inlineStr">
        <is>
          <t>TOTAL</t>
        </is>
      </c>
    </row>
    <row r="28">
      <c r="B28" s="14" t="inlineStr">
        <is>
          <t>Janeiro</t>
        </is>
      </c>
      <c r="C28" s="15">
        <f>COUNTIFS(tblFornos[Tipo],"Operacao",tblFornos[Data],"&gt;="&amp;DATE(YEAR(TODAY()),1,1),tblFornos[Data],"&lt;"&amp;DATE(YEAR(TODAY()),2,1))</f>
        <v/>
      </c>
      <c r="E28" s="15">
        <f>COUNTIFS(tblFornos[Tipo],"Manutencao",tblFornos[Data],"&gt;="&amp;DATE(YEAR(TODAY()),1,1),tblFornos[Data],"&lt;"&amp;DATE(YEAR(TODAY()),2,1))</f>
        <v/>
      </c>
      <c r="G28" s="15">
        <f>COUNTIFS(tblFornos[Tipo],"Falha",tblFornos[Data],"&gt;="&amp;DATE(YEAR(TODAY()),1,1),tblFornos[Data],"&lt;"&amp;DATE(YEAR(TODAY()),2,1))</f>
        <v/>
      </c>
      <c r="I28" s="15">
        <f>COUNTIFS(tblFornos[Tipo],"Inspecao",tblFornos[Data],"&gt;="&amp;DATE(YEAR(TODAY()),1,1),tblFornos[Data],"&lt;"&amp;DATE(YEAR(TODAY()),2,1))</f>
        <v/>
      </c>
      <c r="L28" s="15">
        <f>C28+E28+G28+I28</f>
        <v/>
      </c>
    </row>
    <row r="29">
      <c r="B29" s="14" t="inlineStr">
        <is>
          <t>Fevereiro</t>
        </is>
      </c>
      <c r="C29" s="15">
        <f>COUNTIFS(tblFornos[Tipo],"Operacao",tblFornos[Data],"&gt;="&amp;DATE(YEAR(TODAY()),2,1),tblFornos[Data],"&lt;"&amp;DATE(YEAR(TODAY()),3,1))</f>
        <v/>
      </c>
      <c r="E29" s="15">
        <f>COUNTIFS(tblFornos[Tipo],"Manutencao",tblFornos[Data],"&gt;="&amp;DATE(YEAR(TODAY()),2,1),tblFornos[Data],"&lt;"&amp;DATE(YEAR(TODAY()),3,1))</f>
        <v/>
      </c>
      <c r="G29" s="15">
        <f>COUNTIFS(tblFornos[Tipo],"Falha",tblFornos[Data],"&gt;="&amp;DATE(YEAR(TODAY()),2,1),tblFornos[Data],"&lt;"&amp;DATE(YEAR(TODAY()),3,1))</f>
        <v/>
      </c>
      <c r="I29" s="15">
        <f>COUNTIFS(tblFornos[Tipo],"Inspecao",tblFornos[Data],"&gt;="&amp;DATE(YEAR(TODAY()),2,1),tblFornos[Data],"&lt;"&amp;DATE(YEAR(TODAY()),3,1))</f>
        <v/>
      </c>
      <c r="L29" s="15">
        <f>C29+E29+G29+I29</f>
        <v/>
      </c>
    </row>
    <row r="30">
      <c r="B30" s="14" t="inlineStr">
        <is>
          <t>Marco</t>
        </is>
      </c>
      <c r="C30" s="15">
        <f>COUNTIFS(tblFornos[Tipo],"Operacao",tblFornos[Data],"&gt;="&amp;DATE(YEAR(TODAY()),3,1),tblFornos[Data],"&lt;"&amp;DATE(YEAR(TODAY()),4,1))</f>
        <v/>
      </c>
      <c r="E30" s="15">
        <f>COUNTIFS(tblFornos[Tipo],"Manutencao",tblFornos[Data],"&gt;="&amp;DATE(YEAR(TODAY()),3,1),tblFornos[Data],"&lt;"&amp;DATE(YEAR(TODAY()),4,1))</f>
        <v/>
      </c>
      <c r="G30" s="15">
        <f>COUNTIFS(tblFornos[Tipo],"Falha",tblFornos[Data],"&gt;="&amp;DATE(YEAR(TODAY()),3,1),tblFornos[Data],"&lt;"&amp;DATE(YEAR(TODAY()),4,1))</f>
        <v/>
      </c>
      <c r="I30" s="15">
        <f>COUNTIFS(tblFornos[Tipo],"Inspecao",tblFornos[Data],"&gt;="&amp;DATE(YEAR(TODAY()),3,1),tblFornos[Data],"&lt;"&amp;DATE(YEAR(TODAY()),4,1))</f>
        <v/>
      </c>
      <c r="L30" s="15">
        <f>C30+E30+G30+I30</f>
        <v/>
      </c>
    </row>
    <row r="31">
      <c r="B31" s="14" t="inlineStr">
        <is>
          <t>Abril</t>
        </is>
      </c>
      <c r="C31" s="15">
        <f>COUNTIFS(tblFornos[Tipo],"Operacao",tblFornos[Data],"&gt;="&amp;DATE(YEAR(TODAY()),4,1),tblFornos[Data],"&lt;"&amp;DATE(YEAR(TODAY()),5,1))</f>
        <v/>
      </c>
      <c r="E31" s="15">
        <f>COUNTIFS(tblFornos[Tipo],"Manutencao",tblFornos[Data],"&gt;="&amp;DATE(YEAR(TODAY()),4,1),tblFornos[Data],"&lt;"&amp;DATE(YEAR(TODAY()),5,1))</f>
        <v/>
      </c>
      <c r="G31" s="15">
        <f>COUNTIFS(tblFornos[Tipo],"Falha",tblFornos[Data],"&gt;="&amp;DATE(YEAR(TODAY()),4,1),tblFornos[Data],"&lt;"&amp;DATE(YEAR(TODAY()),5,1))</f>
        <v/>
      </c>
      <c r="I31" s="15">
        <f>COUNTIFS(tblFornos[Tipo],"Inspecao",tblFornos[Data],"&gt;="&amp;DATE(YEAR(TODAY()),4,1),tblFornos[Data],"&lt;"&amp;DATE(YEAR(TODAY()),5,1))</f>
        <v/>
      </c>
      <c r="L31" s="15">
        <f>C31+E31+G31+I31</f>
        <v/>
      </c>
    </row>
    <row r="32">
      <c r="B32" s="14" t="inlineStr">
        <is>
          <t>Maio</t>
        </is>
      </c>
      <c r="C32" s="15">
        <f>COUNTIFS(tblFornos[Tipo],"Operacao",tblFornos[Data],"&gt;="&amp;DATE(YEAR(TODAY()),5,1),tblFornos[Data],"&lt;"&amp;DATE(YEAR(TODAY()),6,1))</f>
        <v/>
      </c>
      <c r="E32" s="15">
        <f>COUNTIFS(tblFornos[Tipo],"Manutencao",tblFornos[Data],"&gt;="&amp;DATE(YEAR(TODAY()),5,1),tblFornos[Data],"&lt;"&amp;DATE(YEAR(TODAY()),6,1))</f>
        <v/>
      </c>
      <c r="G32" s="15">
        <f>COUNTIFS(tblFornos[Tipo],"Falha",tblFornos[Data],"&gt;="&amp;DATE(YEAR(TODAY()),5,1),tblFornos[Data],"&lt;"&amp;DATE(YEAR(TODAY()),6,1))</f>
        <v/>
      </c>
      <c r="I32" s="15">
        <f>COUNTIFS(tblFornos[Tipo],"Inspecao",tblFornos[Data],"&gt;="&amp;DATE(YEAR(TODAY()),5,1),tblFornos[Data],"&lt;"&amp;DATE(YEAR(TODAY()),6,1))</f>
        <v/>
      </c>
      <c r="L32" s="15">
        <f>C32+E32+G32+I32</f>
        <v/>
      </c>
    </row>
    <row r="33">
      <c r="B33" s="14" t="inlineStr">
        <is>
          <t>Junho</t>
        </is>
      </c>
      <c r="C33" s="15">
        <f>COUNTIFS(tblFornos[Tipo],"Operacao",tblFornos[Data],"&gt;="&amp;DATE(YEAR(TODAY()),6,1),tblFornos[Data],"&lt;"&amp;DATE(YEAR(TODAY()),7,1))</f>
        <v/>
      </c>
      <c r="E33" s="15">
        <f>COUNTIFS(tblFornos[Tipo],"Manutencao",tblFornos[Data],"&gt;="&amp;DATE(YEAR(TODAY()),6,1),tblFornos[Data],"&lt;"&amp;DATE(YEAR(TODAY()),7,1))</f>
        <v/>
      </c>
      <c r="G33" s="15">
        <f>COUNTIFS(tblFornos[Tipo],"Falha",tblFornos[Data],"&gt;="&amp;DATE(YEAR(TODAY()),6,1),tblFornos[Data],"&lt;"&amp;DATE(YEAR(TODAY()),7,1))</f>
        <v/>
      </c>
      <c r="I33" s="15">
        <f>COUNTIFS(tblFornos[Tipo],"Inspecao",tblFornos[Data],"&gt;="&amp;DATE(YEAR(TODAY()),6,1),tblFornos[Data],"&lt;"&amp;DATE(YEAR(TODAY()),7,1))</f>
        <v/>
      </c>
      <c r="L33" s="15">
        <f>C33+E33+G33+I33</f>
        <v/>
      </c>
    </row>
    <row r="34">
      <c r="B34" s="14" t="inlineStr">
        <is>
          <t>Julho</t>
        </is>
      </c>
      <c r="C34" s="15">
        <f>COUNTIFS(tblFornos[Tipo],"Operacao",tblFornos[Data],"&gt;="&amp;DATE(YEAR(TODAY()),7,1),tblFornos[Data],"&lt;"&amp;DATE(YEAR(TODAY()),8,1))</f>
        <v/>
      </c>
      <c r="E34" s="15">
        <f>COUNTIFS(tblFornos[Tipo],"Manutencao",tblFornos[Data],"&gt;="&amp;DATE(YEAR(TODAY()),7,1),tblFornos[Data],"&lt;"&amp;DATE(YEAR(TODAY()),8,1))</f>
        <v/>
      </c>
      <c r="G34" s="15">
        <f>COUNTIFS(tblFornos[Tipo],"Falha",tblFornos[Data],"&gt;="&amp;DATE(YEAR(TODAY()),7,1),tblFornos[Data],"&lt;"&amp;DATE(YEAR(TODAY()),8,1))</f>
        <v/>
      </c>
      <c r="I34" s="15">
        <f>COUNTIFS(tblFornos[Tipo],"Inspecao",tblFornos[Data],"&gt;="&amp;DATE(YEAR(TODAY()),7,1),tblFornos[Data],"&lt;"&amp;DATE(YEAR(TODAY()),8,1))</f>
        <v/>
      </c>
      <c r="L34" s="15">
        <f>C34+E34+G34+I34</f>
        <v/>
      </c>
    </row>
    <row r="35">
      <c r="B35" s="14" t="inlineStr">
        <is>
          <t>Agosto</t>
        </is>
      </c>
      <c r="C35" s="15">
        <f>COUNTIFS(tblFornos[Tipo],"Operacao",tblFornos[Data],"&gt;="&amp;DATE(YEAR(TODAY()),8,1),tblFornos[Data],"&lt;"&amp;DATE(YEAR(TODAY()),9,1))</f>
        <v/>
      </c>
      <c r="E35" s="15">
        <f>COUNTIFS(tblFornos[Tipo],"Manutencao",tblFornos[Data],"&gt;="&amp;DATE(YEAR(TODAY()),8,1),tblFornos[Data],"&lt;"&amp;DATE(YEAR(TODAY()),9,1))</f>
        <v/>
      </c>
      <c r="G35" s="15">
        <f>COUNTIFS(tblFornos[Tipo],"Falha",tblFornos[Data],"&gt;="&amp;DATE(YEAR(TODAY()),8,1),tblFornos[Data],"&lt;"&amp;DATE(YEAR(TODAY()),9,1))</f>
        <v/>
      </c>
      <c r="I35" s="15">
        <f>COUNTIFS(tblFornos[Tipo],"Inspecao",tblFornos[Data],"&gt;="&amp;DATE(YEAR(TODAY()),8,1),tblFornos[Data],"&lt;"&amp;DATE(YEAR(TODAY()),9,1))</f>
        <v/>
      </c>
      <c r="L35" s="15">
        <f>C35+E35+G35+I35</f>
        <v/>
      </c>
    </row>
    <row r="36">
      <c r="B36" s="14" t="inlineStr">
        <is>
          <t>Setembro</t>
        </is>
      </c>
      <c r="C36" s="15">
        <f>COUNTIFS(tblFornos[Tipo],"Operacao",tblFornos[Data],"&gt;="&amp;DATE(YEAR(TODAY()),9,1),tblFornos[Data],"&lt;"&amp;DATE(YEAR(TODAY()),10,1))</f>
        <v/>
      </c>
      <c r="E36" s="15">
        <f>COUNTIFS(tblFornos[Tipo],"Manutencao",tblFornos[Data],"&gt;="&amp;DATE(YEAR(TODAY()),9,1),tblFornos[Data],"&lt;"&amp;DATE(YEAR(TODAY()),10,1))</f>
        <v/>
      </c>
      <c r="G36" s="15">
        <f>COUNTIFS(tblFornos[Tipo],"Falha",tblFornos[Data],"&gt;="&amp;DATE(YEAR(TODAY()),9,1),tblFornos[Data],"&lt;"&amp;DATE(YEAR(TODAY()),10,1))</f>
        <v/>
      </c>
      <c r="I36" s="15">
        <f>COUNTIFS(tblFornos[Tipo],"Inspecao",tblFornos[Data],"&gt;="&amp;DATE(YEAR(TODAY()),9,1),tblFornos[Data],"&lt;"&amp;DATE(YEAR(TODAY()),10,1))</f>
        <v/>
      </c>
      <c r="L36" s="15">
        <f>C36+E36+G36+I36</f>
        <v/>
      </c>
    </row>
    <row r="37">
      <c r="B37" s="14" t="inlineStr">
        <is>
          <t>Outubro</t>
        </is>
      </c>
      <c r="C37" s="15">
        <f>COUNTIFS(tblFornos[Tipo],"Operacao",tblFornos[Data],"&gt;="&amp;DATE(YEAR(TODAY()),10,1),tblFornos[Data],"&lt;"&amp;DATE(YEAR(TODAY()),11,1))</f>
        <v/>
      </c>
      <c r="E37" s="15">
        <f>COUNTIFS(tblFornos[Tipo],"Manutencao",tblFornos[Data],"&gt;="&amp;DATE(YEAR(TODAY()),10,1),tblFornos[Data],"&lt;"&amp;DATE(YEAR(TODAY()),11,1))</f>
        <v/>
      </c>
      <c r="G37" s="15">
        <f>COUNTIFS(tblFornos[Tipo],"Falha",tblFornos[Data],"&gt;="&amp;DATE(YEAR(TODAY()),10,1),tblFornos[Data],"&lt;"&amp;DATE(YEAR(TODAY()),11,1))</f>
        <v/>
      </c>
      <c r="I37" s="15">
        <f>COUNTIFS(tblFornos[Tipo],"Inspecao",tblFornos[Data],"&gt;="&amp;DATE(YEAR(TODAY()),10,1),tblFornos[Data],"&lt;"&amp;DATE(YEAR(TODAY()),11,1))</f>
        <v/>
      </c>
      <c r="L37" s="15">
        <f>C37+E37+G37+I37</f>
        <v/>
      </c>
    </row>
    <row r="38">
      <c r="B38" s="14" t="inlineStr">
        <is>
          <t>Novembro</t>
        </is>
      </c>
      <c r="C38" s="15">
        <f>COUNTIFS(tblFornos[Tipo],"Operacao",tblFornos[Data],"&gt;="&amp;DATE(YEAR(TODAY()),11,1),tblFornos[Data],"&lt;"&amp;DATE(YEAR(TODAY()),12,1))</f>
        <v/>
      </c>
      <c r="E38" s="15">
        <f>COUNTIFS(tblFornos[Tipo],"Manutencao",tblFornos[Data],"&gt;="&amp;DATE(YEAR(TODAY()),11,1),tblFornos[Data],"&lt;"&amp;DATE(YEAR(TODAY()),12,1))</f>
        <v/>
      </c>
      <c r="G38" s="15">
        <f>COUNTIFS(tblFornos[Tipo],"Falha",tblFornos[Data],"&gt;="&amp;DATE(YEAR(TODAY()),11,1),tblFornos[Data],"&lt;"&amp;DATE(YEAR(TODAY()),12,1))</f>
        <v/>
      </c>
      <c r="I38" s="15">
        <f>COUNTIFS(tblFornos[Tipo],"Inspecao",tblFornos[Data],"&gt;="&amp;DATE(YEAR(TODAY()),11,1),tblFornos[Data],"&lt;"&amp;DATE(YEAR(TODAY()),12,1))</f>
        <v/>
      </c>
      <c r="L38" s="15">
        <f>C38+E38+G38+I38</f>
        <v/>
      </c>
    </row>
    <row r="39">
      <c r="B39" s="14" t="inlineStr">
        <is>
          <t>Dezembro</t>
        </is>
      </c>
      <c r="C39" s="15">
        <f>COUNTIFS(tblFornos[Tipo],"Operacao",tblFornos[Data],"&gt;="&amp;DATE(YEAR(TODAY()),12,1),tblFornos[Data],"&lt;"&amp;DATE(YEAR(TODAY()),13,1))</f>
        <v/>
      </c>
      <c r="E39" s="15">
        <f>COUNTIFS(tblFornos[Tipo],"Manutencao",tblFornos[Data],"&gt;="&amp;DATE(YEAR(TODAY()),12,1),tblFornos[Data],"&lt;"&amp;DATE(YEAR(TODAY()),13,1))</f>
        <v/>
      </c>
      <c r="G39" s="15">
        <f>COUNTIFS(tblFornos[Tipo],"Falha",tblFornos[Data],"&gt;="&amp;DATE(YEAR(TODAY()),12,1),tblFornos[Data],"&lt;"&amp;DATE(YEAR(TODAY()),13,1))</f>
        <v/>
      </c>
      <c r="I39" s="15">
        <f>COUNTIFS(tblFornos[Tipo],"Inspecao",tblFornos[Data],"&gt;="&amp;DATE(YEAR(TODAY()),12,1),tblFornos[Data],"&lt;"&amp;DATE(YEAR(TODAY()),13,1))</f>
        <v/>
      </c>
      <c r="L39" s="15">
        <f>C39+E39+G39+I39</f>
        <v/>
      </c>
    </row>
    <row r="40">
      <c r="B40" s="16" t="inlineStr">
        <is>
          <t>TOTAL</t>
        </is>
      </c>
      <c r="C40" s="16">
        <f>COUNTIFS(tblFornos[Tipo],"Operacao")</f>
        <v/>
      </c>
      <c r="E40" s="16">
        <f>COUNTIFS(tblFornos[Tipo],"Manutencao")</f>
        <v/>
      </c>
      <c r="G40" s="16">
        <f>COUNTIFS(tblFornos[Tipo],"Falha")</f>
        <v/>
      </c>
      <c r="I40" s="16">
        <f>COUNTIFS(tblFornos[Tipo],"Inspecao")</f>
        <v/>
      </c>
      <c r="L40" s="16">
        <f>COUNTA(tblFornos[ID])</f>
        <v/>
      </c>
    </row>
  </sheetData>
  <mergeCells count="86">
    <mergeCell ref="B2:M2"/>
    <mergeCell ref="L28:M28"/>
    <mergeCell ref="L6:M7"/>
    <mergeCell ref="L5:M5"/>
    <mergeCell ref="L39:M39"/>
    <mergeCell ref="E34:F34"/>
    <mergeCell ref="G34:H34"/>
    <mergeCell ref="L29:M29"/>
    <mergeCell ref="L38:M38"/>
    <mergeCell ref="C27:D27"/>
    <mergeCell ref="E27:F27"/>
    <mergeCell ref="C36:D36"/>
    <mergeCell ref="E36:F36"/>
    <mergeCell ref="L31:M31"/>
    <mergeCell ref="L40:M40"/>
    <mergeCell ref="C28:D28"/>
    <mergeCell ref="I30:J30"/>
    <mergeCell ref="C30:D30"/>
    <mergeCell ref="G6:H7"/>
    <mergeCell ref="G40:H40"/>
    <mergeCell ref="E38:F38"/>
    <mergeCell ref="G38:H38"/>
    <mergeCell ref="I32:J32"/>
    <mergeCell ref="C40:D40"/>
    <mergeCell ref="E40:F40"/>
    <mergeCell ref="L30:M30"/>
    <mergeCell ref="G33:H33"/>
    <mergeCell ref="I33:J33"/>
    <mergeCell ref="D6:E7"/>
    <mergeCell ref="B9:F9"/>
    <mergeCell ref="G35:H35"/>
    <mergeCell ref="I35:J35"/>
    <mergeCell ref="C34:D34"/>
    <mergeCell ref="L32:M32"/>
    <mergeCell ref="E39:F39"/>
    <mergeCell ref="G39:H39"/>
    <mergeCell ref="G9:J9"/>
    <mergeCell ref="C29:D29"/>
    <mergeCell ref="E29:F29"/>
    <mergeCell ref="L33:M33"/>
    <mergeCell ref="G37:H37"/>
    <mergeCell ref="I37:J37"/>
    <mergeCell ref="C31:D31"/>
    <mergeCell ref="E31:F31"/>
    <mergeCell ref="L35:M35"/>
    <mergeCell ref="L9:M9"/>
    <mergeCell ref="C32:D32"/>
    <mergeCell ref="C38:D38"/>
    <mergeCell ref="E32:F32"/>
    <mergeCell ref="B5:C5"/>
    <mergeCell ref="G32:H32"/>
    <mergeCell ref="D5:E5"/>
    <mergeCell ref="I34:J34"/>
    <mergeCell ref="C33:D33"/>
    <mergeCell ref="E33:F33"/>
    <mergeCell ref="G27:H27"/>
    <mergeCell ref="I27:J27"/>
    <mergeCell ref="B6:C7"/>
    <mergeCell ref="G36:H36"/>
    <mergeCell ref="I36:J36"/>
    <mergeCell ref="L37:M37"/>
    <mergeCell ref="C35:D35"/>
    <mergeCell ref="E35:F35"/>
    <mergeCell ref="E28:F28"/>
    <mergeCell ref="G28:H28"/>
    <mergeCell ref="I28:J28"/>
    <mergeCell ref="E30:F30"/>
    <mergeCell ref="G30:H30"/>
    <mergeCell ref="I6:J7"/>
    <mergeCell ref="G5:H5"/>
    <mergeCell ref="I5:J5"/>
    <mergeCell ref="B26:M26"/>
    <mergeCell ref="I39:J39"/>
    <mergeCell ref="C39:D39"/>
    <mergeCell ref="G29:H29"/>
    <mergeCell ref="I29:J29"/>
    <mergeCell ref="L34:M34"/>
    <mergeCell ref="I38:J38"/>
    <mergeCell ref="B3:M3"/>
    <mergeCell ref="C37:D37"/>
    <mergeCell ref="E37:F37"/>
    <mergeCell ref="L27:M27"/>
    <mergeCell ref="G31:H31"/>
    <mergeCell ref="I31:J31"/>
    <mergeCell ref="L36:M36"/>
    <mergeCell ref="I40:J40"/>
  </mergeCells>
  <conditionalFormatting sqref="L28:M39">
    <cfRule type="colorScale" priority="1">
      <colorScale>
        <cfvo type="min"/>
        <cfvo type="max"/>
        <color rgb="00FFFFFF"/>
        <color rgb="001F4E7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2:Q3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1" customWidth="1" min="8" max="8"/>
    <col width="3" customWidth="1" min="9" max="9"/>
    <col width="13" customWidth="1" min="10" max="10"/>
    <col width="11" customWidth="1" min="11" max="11"/>
    <col width="3" customWidth="1" min="12" max="12"/>
    <col width="13" customWidth="1" min="13" max="13"/>
    <col width="11" customWidth="1" min="14" max="14"/>
    <col width="3" customWidth="1" min="15" max="15"/>
    <col width="13" customWidth="1" min="16" max="16"/>
    <col width="11" customWidth="1" min="17" max="17"/>
  </cols>
  <sheetData>
    <row r="2" ht="36" customHeight="1">
      <c r="B2" s="17" t="inlineStr">
        <is>
          <t>REGISTRO RAPIDO DE FORNOS</t>
        </is>
      </c>
    </row>
    <row r="4" ht="18" customHeight="1">
      <c r="B4" s="18" t="inlineStr">
        <is>
          <t>DATA</t>
        </is>
      </c>
      <c r="C4" s="18" t="inlineStr">
        <is>
          <t>FORNO</t>
        </is>
      </c>
      <c r="D4" s="18" t="inlineStr">
        <is>
          <t>TIPO</t>
        </is>
      </c>
      <c r="E4" s="18" t="inlineStr">
        <is>
          <t>LADO</t>
        </is>
      </c>
      <c r="G4" s="19" t="inlineStr">
        <is>
          <t>REGISTRAR</t>
        </is>
      </c>
      <c r="J4" s="20" t="inlineStr">
        <is>
          <t>LIMPAR</t>
        </is>
      </c>
      <c r="M4" s="21" t="inlineStr">
        <is>
          <t>Preencha os 4 campos e clique em REGISTRAR. Sem macros: digite uma nova linha direto na tabela (via Dados/Conexoes ou edite a aba _Dados).</t>
        </is>
      </c>
    </row>
    <row r="5" ht="30" customHeight="1">
      <c r="B5" s="22" t="n">
        <v>46151</v>
      </c>
      <c r="C5" s="23" t="inlineStr"/>
      <c r="D5" s="23" t="inlineStr">
        <is>
          <t>Operacao</t>
        </is>
      </c>
      <c r="E5" s="23" t="inlineStr">
        <is>
          <t>A</t>
        </is>
      </c>
    </row>
    <row r="7" ht="22" customHeight="1">
      <c r="B7" s="24">
        <f>IF(COUNTA(tblFornos[ID])&gt;0,"Ultimo registro: ID "&amp;MAX(tblFornos[ID])&amp;"  -  Total na base: "&amp;COUNTA(tblFornos[ID])&amp;" registros","Sem registros ainda.")</f>
        <v/>
      </c>
    </row>
    <row r="9" ht="24" customHeight="1">
      <c r="B9" s="12" t="inlineStr">
        <is>
          <t>REGISTROS POR TIPO  -  Forno + Quantidade. Totais ao final.</t>
        </is>
      </c>
    </row>
    <row r="10" ht="22" customHeight="1">
      <c r="B10" s="12" t="inlineStr">
        <is>
          <t>OPERACAO</t>
        </is>
      </c>
      <c r="E10" s="25" t="inlineStr">
        <is>
          <t>MANUTENCAO</t>
        </is>
      </c>
      <c r="H10" s="26" t="inlineStr">
        <is>
          <t>FALHA</t>
        </is>
      </c>
      <c r="K10" s="27" t="inlineStr">
        <is>
          <t>INSPECAO</t>
        </is>
      </c>
      <c r="N10" s="28" t="inlineStr">
        <is>
          <t>RESUMO POR FORNO</t>
        </is>
      </c>
    </row>
    <row r="11">
      <c r="B11" s="13" t="inlineStr">
        <is>
          <t>Forno</t>
        </is>
      </c>
      <c r="C11" s="13" t="inlineStr">
        <is>
          <t>Qtd</t>
        </is>
      </c>
      <c r="E11" s="13" t="inlineStr">
        <is>
          <t>Forno</t>
        </is>
      </c>
      <c r="F11" s="13" t="inlineStr">
        <is>
          <t>Qtd</t>
        </is>
      </c>
      <c r="H11" s="13" t="inlineStr">
        <is>
          <t>Forno</t>
        </is>
      </c>
      <c r="I11" s="13" t="inlineStr">
        <is>
          <t>Qtd</t>
        </is>
      </c>
      <c r="K11" s="13" t="inlineStr">
        <is>
          <t>Forno</t>
        </is>
      </c>
      <c r="L11" s="13" t="inlineStr">
        <is>
          <t>Qtd</t>
        </is>
      </c>
      <c r="N11" s="13" t="inlineStr">
        <is>
          <t>Forno</t>
        </is>
      </c>
      <c r="O11" s="13" t="inlineStr">
        <is>
          <t>O / M / F / I</t>
        </is>
      </c>
      <c r="P11" s="13" t="inlineStr">
        <is>
          <t>Total</t>
        </is>
      </c>
      <c r="Q11" s="13" t="inlineStr">
        <is>
          <t>% Falha</t>
        </is>
      </c>
    </row>
    <row r="12">
      <c r="B12" s="15">
        <f>IFERROR(_Dados!T2,"")</f>
        <v/>
      </c>
      <c r="C12" s="29">
        <f>IFERROR(_Dados!U2,"")</f>
        <v/>
      </c>
      <c r="E12" s="15">
        <f>IFERROR(_Dados!V2,"")</f>
        <v/>
      </c>
      <c r="F12" s="29">
        <f>IFERROR(_Dados!W2,"")</f>
        <v/>
      </c>
      <c r="H12" s="15">
        <f>IFERROR(_Dados!X2,"")</f>
        <v/>
      </c>
      <c r="I12" s="29">
        <f>IFERROR(_Dados!Y2,"")</f>
        <v/>
      </c>
      <c r="K12" s="15">
        <f>IFERROR(_Dados!Z2,"")</f>
        <v/>
      </c>
      <c r="L12" s="29">
        <f>IFERROR(_Dados!AA2,"")</f>
        <v/>
      </c>
      <c r="N12" s="15">
        <f>IFERROR(INDEX(tblFornos[Forno],MATCH(LARGE(IF(COUNTIF($N$11:N11,tblFornos[Forno])=0,COUNTIFS(tblFornos[Forno],tblFornos[Forno])),1),IF(COUNTIF($N$11:N11,tblFornos[Forno])=0,COUNTIFS(tblFornos[Forno],tblFornos[Forno])),0)),"")</f>
        <v/>
      </c>
      <c r="O12" s="15">
        <f>IF(N12="","",COUNTIFS(tblFornos[Forno],N12,tblFornos[Tipo],"Operacao")&amp;"/"&amp;COUNTIFS(tblFornos[Forno],N12,tblFornos[Tipo],"Manutencao")&amp;"/"&amp;COUNTIFS(tblFornos[Forno],N12,tblFornos[Tipo],"Falha")&amp;"/"&amp;COUNTIFS(tblFornos[Forno],N12,tblFornos[Tipo],"Inspecao"))</f>
        <v/>
      </c>
      <c r="P12" s="15">
        <f>IF(N12="","",COUNTIFS(tblFornos[Forno],N12))</f>
        <v/>
      </c>
      <c r="Q12" s="30">
        <f>IF(OR(N12="",P12=0),"",COUNTIFS(tblFornos[Forno],N12,tblFornos[Tipo],"Falha")/P12)</f>
        <v/>
      </c>
    </row>
    <row r="13">
      <c r="B13" s="15">
        <f>IFERROR(_Dados!T3,"")</f>
        <v/>
      </c>
      <c r="C13" s="29">
        <f>IFERROR(_Dados!U3,"")</f>
        <v/>
      </c>
      <c r="E13" s="15">
        <f>IFERROR(_Dados!V3,"")</f>
        <v/>
      </c>
      <c r="F13" s="29">
        <f>IFERROR(_Dados!W3,"")</f>
        <v/>
      </c>
      <c r="H13" s="15">
        <f>IFERROR(_Dados!X3,"")</f>
        <v/>
      </c>
      <c r="I13" s="29">
        <f>IFERROR(_Dados!Y3,"")</f>
        <v/>
      </c>
      <c r="K13" s="15">
        <f>IFERROR(_Dados!Z3,"")</f>
        <v/>
      </c>
      <c r="L13" s="29">
        <f>IFERROR(_Dados!AA3,"")</f>
        <v/>
      </c>
      <c r="N13" s="15">
        <f>IFERROR(INDEX(tblFornos[Forno],MATCH(LARGE(IF(COUNTIF($N$11:N12,tblFornos[Forno])=0,COUNTIFS(tblFornos[Forno],tblFornos[Forno])),1),IF(COUNTIF($N$11:N12,tblFornos[Forno])=0,COUNTIFS(tblFornos[Forno],tblFornos[Forno])),0)),"")</f>
        <v/>
      </c>
      <c r="O13" s="15">
        <f>IF(N13="","",COUNTIFS(tblFornos[Forno],N13,tblFornos[Tipo],"Operacao")&amp;"/"&amp;COUNTIFS(tblFornos[Forno],N13,tblFornos[Tipo],"Manutencao")&amp;"/"&amp;COUNTIFS(tblFornos[Forno],N13,tblFornos[Tipo],"Falha")&amp;"/"&amp;COUNTIFS(tblFornos[Forno],N13,tblFornos[Tipo],"Inspecao"))</f>
        <v/>
      </c>
      <c r="P13" s="15">
        <f>IF(N13="","",COUNTIFS(tblFornos[Forno],N13))</f>
        <v/>
      </c>
      <c r="Q13" s="30">
        <f>IF(OR(N13="",P13=0),"",COUNTIFS(tblFornos[Forno],N13,tblFornos[Tipo],"Falha")/P13)</f>
        <v/>
      </c>
    </row>
    <row r="14">
      <c r="B14" s="15">
        <f>IFERROR(_Dados!T4,"")</f>
        <v/>
      </c>
      <c r="C14" s="29">
        <f>IFERROR(_Dados!U4,"")</f>
        <v/>
      </c>
      <c r="E14" s="15">
        <f>IFERROR(_Dados!V4,"")</f>
        <v/>
      </c>
      <c r="F14" s="29">
        <f>IFERROR(_Dados!W4,"")</f>
        <v/>
      </c>
      <c r="H14" s="15">
        <f>IFERROR(_Dados!X4,"")</f>
        <v/>
      </c>
      <c r="I14" s="29">
        <f>IFERROR(_Dados!Y4,"")</f>
        <v/>
      </c>
      <c r="K14" s="15">
        <f>IFERROR(_Dados!Z4,"")</f>
        <v/>
      </c>
      <c r="L14" s="29">
        <f>IFERROR(_Dados!AA4,"")</f>
        <v/>
      </c>
      <c r="N14" s="15">
        <f>IFERROR(INDEX(tblFornos[Forno],MATCH(LARGE(IF(COUNTIF($N$11:N13,tblFornos[Forno])=0,COUNTIFS(tblFornos[Forno],tblFornos[Forno])),1),IF(COUNTIF($N$11:N13,tblFornos[Forno])=0,COUNTIFS(tblFornos[Forno],tblFornos[Forno])),0)),"")</f>
        <v/>
      </c>
      <c r="O14" s="15">
        <f>IF(N14="","",COUNTIFS(tblFornos[Forno],N14,tblFornos[Tipo],"Operacao")&amp;"/"&amp;COUNTIFS(tblFornos[Forno],N14,tblFornos[Tipo],"Manutencao")&amp;"/"&amp;COUNTIFS(tblFornos[Forno],N14,tblFornos[Tipo],"Falha")&amp;"/"&amp;COUNTIFS(tblFornos[Forno],N14,tblFornos[Tipo],"Inspecao"))</f>
        <v/>
      </c>
      <c r="P14" s="15">
        <f>IF(N14="","",COUNTIFS(tblFornos[Forno],N14))</f>
        <v/>
      </c>
      <c r="Q14" s="30">
        <f>IF(OR(N14="",P14=0),"",COUNTIFS(tblFornos[Forno],N14,tblFornos[Tipo],"Falha")/P14)</f>
        <v/>
      </c>
    </row>
    <row r="15">
      <c r="B15" s="15">
        <f>IFERROR(_Dados!T5,"")</f>
        <v/>
      </c>
      <c r="C15" s="29">
        <f>IFERROR(_Dados!U5,"")</f>
        <v/>
      </c>
      <c r="E15" s="15">
        <f>IFERROR(_Dados!V5,"")</f>
        <v/>
      </c>
      <c r="F15" s="29">
        <f>IFERROR(_Dados!W5,"")</f>
        <v/>
      </c>
      <c r="H15" s="15">
        <f>IFERROR(_Dados!X5,"")</f>
        <v/>
      </c>
      <c r="I15" s="29">
        <f>IFERROR(_Dados!Y5,"")</f>
        <v/>
      </c>
      <c r="K15" s="15">
        <f>IFERROR(_Dados!Z5,"")</f>
        <v/>
      </c>
      <c r="L15" s="29">
        <f>IFERROR(_Dados!AA5,"")</f>
        <v/>
      </c>
      <c r="N15" s="15">
        <f>IFERROR(INDEX(tblFornos[Forno],MATCH(LARGE(IF(COUNTIF($N$11:N14,tblFornos[Forno])=0,COUNTIFS(tblFornos[Forno],tblFornos[Forno])),1),IF(COUNTIF($N$11:N14,tblFornos[Forno])=0,COUNTIFS(tblFornos[Forno],tblFornos[Forno])),0)),"")</f>
        <v/>
      </c>
      <c r="O15" s="15">
        <f>IF(N15="","",COUNTIFS(tblFornos[Forno],N15,tblFornos[Tipo],"Operacao")&amp;"/"&amp;COUNTIFS(tblFornos[Forno],N15,tblFornos[Tipo],"Manutencao")&amp;"/"&amp;COUNTIFS(tblFornos[Forno],N15,tblFornos[Tipo],"Falha")&amp;"/"&amp;COUNTIFS(tblFornos[Forno],N15,tblFornos[Tipo],"Inspecao"))</f>
        <v/>
      </c>
      <c r="P15" s="15">
        <f>IF(N15="","",COUNTIFS(tblFornos[Forno],N15))</f>
        <v/>
      </c>
      <c r="Q15" s="30">
        <f>IF(OR(N15="",P15=0),"",COUNTIFS(tblFornos[Forno],N15,tblFornos[Tipo],"Falha")/P15)</f>
        <v/>
      </c>
    </row>
    <row r="16">
      <c r="B16" s="15">
        <f>IFERROR(_Dados!T6,"")</f>
        <v/>
      </c>
      <c r="C16" s="29">
        <f>IFERROR(_Dados!U6,"")</f>
        <v/>
      </c>
      <c r="E16" s="15">
        <f>IFERROR(_Dados!V6,"")</f>
        <v/>
      </c>
      <c r="F16" s="29">
        <f>IFERROR(_Dados!W6,"")</f>
        <v/>
      </c>
      <c r="H16" s="15">
        <f>IFERROR(_Dados!X6,"")</f>
        <v/>
      </c>
      <c r="I16" s="29">
        <f>IFERROR(_Dados!Y6,"")</f>
        <v/>
      </c>
      <c r="K16" s="15">
        <f>IFERROR(_Dados!Z6,"")</f>
        <v/>
      </c>
      <c r="L16" s="29">
        <f>IFERROR(_Dados!AA6,"")</f>
        <v/>
      </c>
      <c r="N16" s="15">
        <f>IFERROR(INDEX(tblFornos[Forno],MATCH(LARGE(IF(COUNTIF($N$11:N15,tblFornos[Forno])=0,COUNTIFS(tblFornos[Forno],tblFornos[Forno])),1),IF(COUNTIF($N$11:N15,tblFornos[Forno])=0,COUNTIFS(tblFornos[Forno],tblFornos[Forno])),0)),"")</f>
        <v/>
      </c>
      <c r="O16" s="15">
        <f>IF(N16="","",COUNTIFS(tblFornos[Forno],N16,tblFornos[Tipo],"Operacao")&amp;"/"&amp;COUNTIFS(tblFornos[Forno],N16,tblFornos[Tipo],"Manutencao")&amp;"/"&amp;COUNTIFS(tblFornos[Forno],N16,tblFornos[Tipo],"Falha")&amp;"/"&amp;COUNTIFS(tblFornos[Forno],N16,tblFornos[Tipo],"Inspecao"))</f>
        <v/>
      </c>
      <c r="P16" s="15">
        <f>IF(N16="","",COUNTIFS(tblFornos[Forno],N16))</f>
        <v/>
      </c>
      <c r="Q16" s="30">
        <f>IF(OR(N16="",P16=0),"",COUNTIFS(tblFornos[Forno],N16,tblFornos[Tipo],"Falha")/P16)</f>
        <v/>
      </c>
    </row>
    <row r="17">
      <c r="B17" s="15">
        <f>IFERROR(_Dados!T7,"")</f>
        <v/>
      </c>
      <c r="C17" s="29">
        <f>IFERROR(_Dados!U7,"")</f>
        <v/>
      </c>
      <c r="E17" s="15">
        <f>IFERROR(_Dados!V7,"")</f>
        <v/>
      </c>
      <c r="F17" s="29">
        <f>IFERROR(_Dados!W7,"")</f>
        <v/>
      </c>
      <c r="H17" s="15">
        <f>IFERROR(_Dados!X7,"")</f>
        <v/>
      </c>
      <c r="I17" s="29">
        <f>IFERROR(_Dados!Y7,"")</f>
        <v/>
      </c>
      <c r="K17" s="15">
        <f>IFERROR(_Dados!Z7,"")</f>
        <v/>
      </c>
      <c r="L17" s="29">
        <f>IFERROR(_Dados!AA7,"")</f>
        <v/>
      </c>
      <c r="N17" s="15">
        <f>IFERROR(INDEX(tblFornos[Forno],MATCH(LARGE(IF(COUNTIF($N$11:N16,tblFornos[Forno])=0,COUNTIFS(tblFornos[Forno],tblFornos[Forno])),1),IF(COUNTIF($N$11:N16,tblFornos[Forno])=0,COUNTIFS(tblFornos[Forno],tblFornos[Forno])),0)),"")</f>
        <v/>
      </c>
      <c r="O17" s="15">
        <f>IF(N17="","",COUNTIFS(tblFornos[Forno],N17,tblFornos[Tipo],"Operacao")&amp;"/"&amp;COUNTIFS(tblFornos[Forno],N17,tblFornos[Tipo],"Manutencao")&amp;"/"&amp;COUNTIFS(tblFornos[Forno],N17,tblFornos[Tipo],"Falha")&amp;"/"&amp;COUNTIFS(tblFornos[Forno],N17,tblFornos[Tipo],"Inspecao"))</f>
        <v/>
      </c>
      <c r="P17" s="15">
        <f>IF(N17="","",COUNTIFS(tblFornos[Forno],N17))</f>
        <v/>
      </c>
      <c r="Q17" s="30">
        <f>IF(OR(N17="",P17=0),"",COUNTIFS(tblFornos[Forno],N17,tblFornos[Tipo],"Falha")/P17)</f>
        <v/>
      </c>
    </row>
    <row r="18">
      <c r="B18" s="15">
        <f>IFERROR(_Dados!T8,"")</f>
        <v/>
      </c>
      <c r="C18" s="29">
        <f>IFERROR(_Dados!U8,"")</f>
        <v/>
      </c>
      <c r="E18" s="15">
        <f>IFERROR(_Dados!V8,"")</f>
        <v/>
      </c>
      <c r="F18" s="29">
        <f>IFERROR(_Dados!W8,"")</f>
        <v/>
      </c>
      <c r="H18" s="15">
        <f>IFERROR(_Dados!X8,"")</f>
        <v/>
      </c>
      <c r="I18" s="29">
        <f>IFERROR(_Dados!Y8,"")</f>
        <v/>
      </c>
      <c r="K18" s="15">
        <f>IFERROR(_Dados!Z8,"")</f>
        <v/>
      </c>
      <c r="L18" s="29">
        <f>IFERROR(_Dados!AA8,"")</f>
        <v/>
      </c>
      <c r="N18" s="15">
        <f>IFERROR(INDEX(tblFornos[Forno],MATCH(LARGE(IF(COUNTIF($N$11:N17,tblFornos[Forno])=0,COUNTIFS(tblFornos[Forno],tblFornos[Forno])),1),IF(COUNTIF($N$11:N17,tblFornos[Forno])=0,COUNTIFS(tblFornos[Forno],tblFornos[Forno])),0)),"")</f>
        <v/>
      </c>
      <c r="O18" s="15">
        <f>IF(N18="","",COUNTIFS(tblFornos[Forno],N18,tblFornos[Tipo],"Operacao")&amp;"/"&amp;COUNTIFS(tblFornos[Forno],N18,tblFornos[Tipo],"Manutencao")&amp;"/"&amp;COUNTIFS(tblFornos[Forno],N18,tblFornos[Tipo],"Falha")&amp;"/"&amp;COUNTIFS(tblFornos[Forno],N18,tblFornos[Tipo],"Inspecao"))</f>
        <v/>
      </c>
      <c r="P18" s="15">
        <f>IF(N18="","",COUNTIFS(tblFornos[Forno],N18))</f>
        <v/>
      </c>
      <c r="Q18" s="30">
        <f>IF(OR(N18="",P18=0),"",COUNTIFS(tblFornos[Forno],N18,tblFornos[Tipo],"Falha")/P18)</f>
        <v/>
      </c>
    </row>
    <row r="19">
      <c r="B19" s="15">
        <f>IFERROR(_Dados!T9,"")</f>
        <v/>
      </c>
      <c r="C19" s="29">
        <f>IFERROR(_Dados!U9,"")</f>
        <v/>
      </c>
      <c r="E19" s="15">
        <f>IFERROR(_Dados!V9,"")</f>
        <v/>
      </c>
      <c r="F19" s="29">
        <f>IFERROR(_Dados!W9,"")</f>
        <v/>
      </c>
      <c r="H19" s="15">
        <f>IFERROR(_Dados!X9,"")</f>
        <v/>
      </c>
      <c r="I19" s="29">
        <f>IFERROR(_Dados!Y9,"")</f>
        <v/>
      </c>
      <c r="K19" s="15">
        <f>IFERROR(_Dados!Z9,"")</f>
        <v/>
      </c>
      <c r="L19" s="29">
        <f>IFERROR(_Dados!AA9,"")</f>
        <v/>
      </c>
      <c r="N19" s="15">
        <f>IFERROR(INDEX(tblFornos[Forno],MATCH(LARGE(IF(COUNTIF($N$11:N18,tblFornos[Forno])=0,COUNTIFS(tblFornos[Forno],tblFornos[Forno])),1),IF(COUNTIF($N$11:N18,tblFornos[Forno])=0,COUNTIFS(tblFornos[Forno],tblFornos[Forno])),0)),"")</f>
        <v/>
      </c>
      <c r="O19" s="15">
        <f>IF(N19="","",COUNTIFS(tblFornos[Forno],N19,tblFornos[Tipo],"Operacao")&amp;"/"&amp;COUNTIFS(tblFornos[Forno],N19,tblFornos[Tipo],"Manutencao")&amp;"/"&amp;COUNTIFS(tblFornos[Forno],N19,tblFornos[Tipo],"Falha")&amp;"/"&amp;COUNTIFS(tblFornos[Forno],N19,tblFornos[Tipo],"Inspecao"))</f>
        <v/>
      </c>
      <c r="P19" s="15">
        <f>IF(N19="","",COUNTIFS(tblFornos[Forno],N19))</f>
        <v/>
      </c>
      <c r="Q19" s="30">
        <f>IF(OR(N19="",P19=0),"",COUNTIFS(tblFornos[Forno],N19,tblFornos[Tipo],"Falha")/P19)</f>
        <v/>
      </c>
    </row>
    <row r="20">
      <c r="B20" s="15">
        <f>IFERROR(_Dados!T10,"")</f>
        <v/>
      </c>
      <c r="C20" s="29">
        <f>IFERROR(_Dados!U10,"")</f>
        <v/>
      </c>
      <c r="E20" s="15">
        <f>IFERROR(_Dados!V10,"")</f>
        <v/>
      </c>
      <c r="F20" s="29">
        <f>IFERROR(_Dados!W10,"")</f>
        <v/>
      </c>
      <c r="H20" s="15">
        <f>IFERROR(_Dados!X10,"")</f>
        <v/>
      </c>
      <c r="I20" s="29">
        <f>IFERROR(_Dados!Y10,"")</f>
        <v/>
      </c>
      <c r="K20" s="15">
        <f>IFERROR(_Dados!Z10,"")</f>
        <v/>
      </c>
      <c r="L20" s="29">
        <f>IFERROR(_Dados!AA10,"")</f>
        <v/>
      </c>
      <c r="N20" s="15">
        <f>IFERROR(INDEX(tblFornos[Forno],MATCH(LARGE(IF(COUNTIF($N$11:N19,tblFornos[Forno])=0,COUNTIFS(tblFornos[Forno],tblFornos[Forno])),1),IF(COUNTIF($N$11:N19,tblFornos[Forno])=0,COUNTIFS(tblFornos[Forno],tblFornos[Forno])),0)),"")</f>
        <v/>
      </c>
      <c r="O20" s="15">
        <f>IF(N20="","",COUNTIFS(tblFornos[Forno],N20,tblFornos[Tipo],"Operacao")&amp;"/"&amp;COUNTIFS(tblFornos[Forno],N20,tblFornos[Tipo],"Manutencao")&amp;"/"&amp;COUNTIFS(tblFornos[Forno],N20,tblFornos[Tipo],"Falha")&amp;"/"&amp;COUNTIFS(tblFornos[Forno],N20,tblFornos[Tipo],"Inspecao"))</f>
        <v/>
      </c>
      <c r="P20" s="15">
        <f>IF(N20="","",COUNTIFS(tblFornos[Forno],N20))</f>
        <v/>
      </c>
      <c r="Q20" s="30">
        <f>IF(OR(N20="",P20=0),"",COUNTIFS(tblFornos[Forno],N20,tblFornos[Tipo],"Falha")/P20)</f>
        <v/>
      </c>
    </row>
    <row r="21">
      <c r="B21" s="15">
        <f>IFERROR(_Dados!T11,"")</f>
        <v/>
      </c>
      <c r="C21" s="29">
        <f>IFERROR(_Dados!U11,"")</f>
        <v/>
      </c>
      <c r="E21" s="15">
        <f>IFERROR(_Dados!V11,"")</f>
        <v/>
      </c>
      <c r="F21" s="29">
        <f>IFERROR(_Dados!W11,"")</f>
        <v/>
      </c>
      <c r="H21" s="15">
        <f>IFERROR(_Dados!X11,"")</f>
        <v/>
      </c>
      <c r="I21" s="29">
        <f>IFERROR(_Dados!Y11,"")</f>
        <v/>
      </c>
      <c r="K21" s="15">
        <f>IFERROR(_Dados!Z11,"")</f>
        <v/>
      </c>
      <c r="L21" s="29">
        <f>IFERROR(_Dados!AA11,"")</f>
        <v/>
      </c>
      <c r="N21" s="15">
        <f>IFERROR(INDEX(tblFornos[Forno],MATCH(LARGE(IF(COUNTIF($N$11:N20,tblFornos[Forno])=0,COUNTIFS(tblFornos[Forno],tblFornos[Forno])),1),IF(COUNTIF($N$11:N20,tblFornos[Forno])=0,COUNTIFS(tblFornos[Forno],tblFornos[Forno])),0)),"")</f>
        <v/>
      </c>
      <c r="O21" s="15">
        <f>IF(N21="","",COUNTIFS(tblFornos[Forno],N21,tblFornos[Tipo],"Operacao")&amp;"/"&amp;COUNTIFS(tblFornos[Forno],N21,tblFornos[Tipo],"Manutencao")&amp;"/"&amp;COUNTIFS(tblFornos[Forno],N21,tblFornos[Tipo],"Falha")&amp;"/"&amp;COUNTIFS(tblFornos[Forno],N21,tblFornos[Tipo],"Inspecao"))</f>
        <v/>
      </c>
      <c r="P21" s="15">
        <f>IF(N21="","",COUNTIFS(tblFornos[Forno],N21))</f>
        <v/>
      </c>
      <c r="Q21" s="30">
        <f>IF(OR(N21="",P21=0),"",COUNTIFS(tblFornos[Forno],N21,tblFornos[Tipo],"Falha")/P21)</f>
        <v/>
      </c>
    </row>
    <row r="22">
      <c r="B22" s="15">
        <f>IFERROR(_Dados!T12,"")</f>
        <v/>
      </c>
      <c r="C22" s="29">
        <f>IFERROR(_Dados!U12,"")</f>
        <v/>
      </c>
      <c r="E22" s="15">
        <f>IFERROR(_Dados!V12,"")</f>
        <v/>
      </c>
      <c r="F22" s="29">
        <f>IFERROR(_Dados!W12,"")</f>
        <v/>
      </c>
      <c r="H22" s="15">
        <f>IFERROR(_Dados!X12,"")</f>
        <v/>
      </c>
      <c r="I22" s="29">
        <f>IFERROR(_Dados!Y12,"")</f>
        <v/>
      </c>
      <c r="K22" s="15">
        <f>IFERROR(_Dados!Z12,"")</f>
        <v/>
      </c>
      <c r="L22" s="29">
        <f>IFERROR(_Dados!AA12,"")</f>
        <v/>
      </c>
      <c r="N22" s="15">
        <f>IFERROR(INDEX(tblFornos[Forno],MATCH(LARGE(IF(COUNTIF($N$11:N21,tblFornos[Forno])=0,COUNTIFS(tblFornos[Forno],tblFornos[Forno])),1),IF(COUNTIF($N$11:N21,tblFornos[Forno])=0,COUNTIFS(tblFornos[Forno],tblFornos[Forno])),0)),"")</f>
        <v/>
      </c>
      <c r="O22" s="15">
        <f>IF(N22="","",COUNTIFS(tblFornos[Forno],N22,tblFornos[Tipo],"Operacao")&amp;"/"&amp;COUNTIFS(tblFornos[Forno],N22,tblFornos[Tipo],"Manutencao")&amp;"/"&amp;COUNTIFS(tblFornos[Forno],N22,tblFornos[Tipo],"Falha")&amp;"/"&amp;COUNTIFS(tblFornos[Forno],N22,tblFornos[Tipo],"Inspecao"))</f>
        <v/>
      </c>
      <c r="P22" s="15">
        <f>IF(N22="","",COUNTIFS(tblFornos[Forno],N22))</f>
        <v/>
      </c>
      <c r="Q22" s="30">
        <f>IF(OR(N22="",P22=0),"",COUNTIFS(tblFornos[Forno],N22,tblFornos[Tipo],"Falha")/P22)</f>
        <v/>
      </c>
    </row>
    <row r="23">
      <c r="B23" s="15">
        <f>IFERROR(_Dados!T13,"")</f>
        <v/>
      </c>
      <c r="C23" s="29">
        <f>IFERROR(_Dados!U13,"")</f>
        <v/>
      </c>
      <c r="E23" s="15">
        <f>IFERROR(_Dados!V13,"")</f>
        <v/>
      </c>
      <c r="F23" s="29">
        <f>IFERROR(_Dados!W13,"")</f>
        <v/>
      </c>
      <c r="H23" s="15">
        <f>IFERROR(_Dados!X13,"")</f>
        <v/>
      </c>
      <c r="I23" s="29">
        <f>IFERROR(_Dados!Y13,"")</f>
        <v/>
      </c>
      <c r="K23" s="15">
        <f>IFERROR(_Dados!Z13,"")</f>
        <v/>
      </c>
      <c r="L23" s="29">
        <f>IFERROR(_Dados!AA13,"")</f>
        <v/>
      </c>
      <c r="N23" s="15">
        <f>IFERROR(INDEX(tblFornos[Forno],MATCH(LARGE(IF(COUNTIF($N$11:N22,tblFornos[Forno])=0,COUNTIFS(tblFornos[Forno],tblFornos[Forno])),1),IF(COUNTIF($N$11:N22,tblFornos[Forno])=0,COUNTIFS(tblFornos[Forno],tblFornos[Forno])),0)),"")</f>
        <v/>
      </c>
      <c r="O23" s="15">
        <f>IF(N23="","",COUNTIFS(tblFornos[Forno],N23,tblFornos[Tipo],"Operacao")&amp;"/"&amp;COUNTIFS(tblFornos[Forno],N23,tblFornos[Tipo],"Manutencao")&amp;"/"&amp;COUNTIFS(tblFornos[Forno],N23,tblFornos[Tipo],"Falha")&amp;"/"&amp;COUNTIFS(tblFornos[Forno],N23,tblFornos[Tipo],"Inspecao"))</f>
        <v/>
      </c>
      <c r="P23" s="15">
        <f>IF(N23="","",COUNTIFS(tblFornos[Forno],N23))</f>
        <v/>
      </c>
      <c r="Q23" s="30">
        <f>IF(OR(N23="",P23=0),"",COUNTIFS(tblFornos[Forno],N23,tblFornos[Tipo],"Falha")/P23)</f>
        <v/>
      </c>
    </row>
    <row r="24">
      <c r="B24" s="15">
        <f>IFERROR(_Dados!T14,"")</f>
        <v/>
      </c>
      <c r="C24" s="29">
        <f>IFERROR(_Dados!U14,"")</f>
        <v/>
      </c>
      <c r="E24" s="15">
        <f>IFERROR(_Dados!V14,"")</f>
        <v/>
      </c>
      <c r="F24" s="29">
        <f>IFERROR(_Dados!W14,"")</f>
        <v/>
      </c>
      <c r="H24" s="15">
        <f>IFERROR(_Dados!X14,"")</f>
        <v/>
      </c>
      <c r="I24" s="29">
        <f>IFERROR(_Dados!Y14,"")</f>
        <v/>
      </c>
      <c r="K24" s="15">
        <f>IFERROR(_Dados!Z14,"")</f>
        <v/>
      </c>
      <c r="L24" s="29">
        <f>IFERROR(_Dados!AA14,"")</f>
        <v/>
      </c>
      <c r="N24" s="15">
        <f>IFERROR(INDEX(tblFornos[Forno],MATCH(LARGE(IF(COUNTIF($N$11:N23,tblFornos[Forno])=0,COUNTIFS(tblFornos[Forno],tblFornos[Forno])),1),IF(COUNTIF($N$11:N23,tblFornos[Forno])=0,COUNTIFS(tblFornos[Forno],tblFornos[Forno])),0)),"")</f>
        <v/>
      </c>
      <c r="O24" s="15">
        <f>IF(N24="","",COUNTIFS(tblFornos[Forno],N24,tblFornos[Tipo],"Operacao")&amp;"/"&amp;COUNTIFS(tblFornos[Forno],N24,tblFornos[Tipo],"Manutencao")&amp;"/"&amp;COUNTIFS(tblFornos[Forno],N24,tblFornos[Tipo],"Falha")&amp;"/"&amp;COUNTIFS(tblFornos[Forno],N24,tblFornos[Tipo],"Inspecao"))</f>
        <v/>
      </c>
      <c r="P24" s="15">
        <f>IF(N24="","",COUNTIFS(tblFornos[Forno],N24))</f>
        <v/>
      </c>
      <c r="Q24" s="30">
        <f>IF(OR(N24="",P24=0),"",COUNTIFS(tblFornos[Forno],N24,tblFornos[Tipo],"Falha")/P24)</f>
        <v/>
      </c>
    </row>
    <row r="25">
      <c r="B25" s="15">
        <f>IFERROR(_Dados!T15,"")</f>
        <v/>
      </c>
      <c r="C25" s="29">
        <f>IFERROR(_Dados!U15,"")</f>
        <v/>
      </c>
      <c r="E25" s="15">
        <f>IFERROR(_Dados!V15,"")</f>
        <v/>
      </c>
      <c r="F25" s="29">
        <f>IFERROR(_Dados!W15,"")</f>
        <v/>
      </c>
      <c r="H25" s="15">
        <f>IFERROR(_Dados!X15,"")</f>
        <v/>
      </c>
      <c r="I25" s="29">
        <f>IFERROR(_Dados!Y15,"")</f>
        <v/>
      </c>
      <c r="K25" s="15">
        <f>IFERROR(_Dados!Z15,"")</f>
        <v/>
      </c>
      <c r="L25" s="29">
        <f>IFERROR(_Dados!AA15,"")</f>
        <v/>
      </c>
      <c r="N25" s="15">
        <f>IFERROR(INDEX(tblFornos[Forno],MATCH(LARGE(IF(COUNTIF($N$11:N24,tblFornos[Forno])=0,COUNTIFS(tblFornos[Forno],tblFornos[Forno])),1),IF(COUNTIF($N$11:N24,tblFornos[Forno])=0,COUNTIFS(tblFornos[Forno],tblFornos[Forno])),0)),"")</f>
        <v/>
      </c>
      <c r="O25" s="15">
        <f>IF(N25="","",COUNTIFS(tblFornos[Forno],N25,tblFornos[Tipo],"Operacao")&amp;"/"&amp;COUNTIFS(tblFornos[Forno],N25,tblFornos[Tipo],"Manutencao")&amp;"/"&amp;COUNTIFS(tblFornos[Forno],N25,tblFornos[Tipo],"Falha")&amp;"/"&amp;COUNTIFS(tblFornos[Forno],N25,tblFornos[Tipo],"Inspecao"))</f>
        <v/>
      </c>
      <c r="P25" s="15">
        <f>IF(N25="","",COUNTIFS(tblFornos[Forno],N25))</f>
        <v/>
      </c>
      <c r="Q25" s="30">
        <f>IF(OR(N25="",P25=0),"",COUNTIFS(tblFornos[Forno],N25,tblFornos[Tipo],"Falha")/P25)</f>
        <v/>
      </c>
    </row>
    <row r="26">
      <c r="B26" s="15">
        <f>IFERROR(_Dados!T16,"")</f>
        <v/>
      </c>
      <c r="C26" s="29">
        <f>IFERROR(_Dados!U16,"")</f>
        <v/>
      </c>
      <c r="E26" s="15">
        <f>IFERROR(_Dados!V16,"")</f>
        <v/>
      </c>
      <c r="F26" s="29">
        <f>IFERROR(_Dados!W16,"")</f>
        <v/>
      </c>
      <c r="H26" s="15">
        <f>IFERROR(_Dados!X16,"")</f>
        <v/>
      </c>
      <c r="I26" s="29">
        <f>IFERROR(_Dados!Y16,"")</f>
        <v/>
      </c>
      <c r="K26" s="15">
        <f>IFERROR(_Dados!Z16,"")</f>
        <v/>
      </c>
      <c r="L26" s="29">
        <f>IFERROR(_Dados!AA16,"")</f>
        <v/>
      </c>
      <c r="N26" s="15">
        <f>IFERROR(INDEX(tblFornos[Forno],MATCH(LARGE(IF(COUNTIF($N$11:N25,tblFornos[Forno])=0,COUNTIFS(tblFornos[Forno],tblFornos[Forno])),1),IF(COUNTIF($N$11:N25,tblFornos[Forno])=0,COUNTIFS(tblFornos[Forno],tblFornos[Forno])),0)),"")</f>
        <v/>
      </c>
      <c r="O26" s="15">
        <f>IF(N26="","",COUNTIFS(tblFornos[Forno],N26,tblFornos[Tipo],"Operacao")&amp;"/"&amp;COUNTIFS(tblFornos[Forno],N26,tblFornos[Tipo],"Manutencao")&amp;"/"&amp;COUNTIFS(tblFornos[Forno],N26,tblFornos[Tipo],"Falha")&amp;"/"&amp;COUNTIFS(tblFornos[Forno],N26,tblFornos[Tipo],"Inspecao"))</f>
        <v/>
      </c>
      <c r="P26" s="15">
        <f>IF(N26="","",COUNTIFS(tblFornos[Forno],N26))</f>
        <v/>
      </c>
      <c r="Q26" s="30">
        <f>IF(OR(N26="",P26=0),"",COUNTIFS(tblFornos[Forno],N26,tblFornos[Tipo],"Falha")/P26)</f>
        <v/>
      </c>
    </row>
    <row r="27">
      <c r="B27" s="15">
        <f>IFERROR(_Dados!T17,"")</f>
        <v/>
      </c>
      <c r="C27" s="29">
        <f>IFERROR(_Dados!U17,"")</f>
        <v/>
      </c>
      <c r="E27" s="15">
        <f>IFERROR(_Dados!V17,"")</f>
        <v/>
      </c>
      <c r="F27" s="29">
        <f>IFERROR(_Dados!W17,"")</f>
        <v/>
      </c>
      <c r="H27" s="15">
        <f>IFERROR(_Dados!X17,"")</f>
        <v/>
      </c>
      <c r="I27" s="29">
        <f>IFERROR(_Dados!Y17,"")</f>
        <v/>
      </c>
      <c r="K27" s="15">
        <f>IFERROR(_Dados!Z17,"")</f>
        <v/>
      </c>
      <c r="L27" s="29">
        <f>IFERROR(_Dados!AA17,"")</f>
        <v/>
      </c>
      <c r="N27" s="15">
        <f>IFERROR(INDEX(tblFornos[Forno],MATCH(LARGE(IF(COUNTIF($N$11:N26,tblFornos[Forno])=0,COUNTIFS(tblFornos[Forno],tblFornos[Forno])),1),IF(COUNTIF($N$11:N26,tblFornos[Forno])=0,COUNTIFS(tblFornos[Forno],tblFornos[Forno])),0)),"")</f>
        <v/>
      </c>
      <c r="O27" s="15">
        <f>IF(N27="","",COUNTIFS(tblFornos[Forno],N27,tblFornos[Tipo],"Operacao")&amp;"/"&amp;COUNTIFS(tblFornos[Forno],N27,tblFornos[Tipo],"Manutencao")&amp;"/"&amp;COUNTIFS(tblFornos[Forno],N27,tblFornos[Tipo],"Falha")&amp;"/"&amp;COUNTIFS(tblFornos[Forno],N27,tblFornos[Tipo],"Inspecao"))</f>
        <v/>
      </c>
      <c r="P27" s="15">
        <f>IF(N27="","",COUNTIFS(tblFornos[Forno],N27))</f>
        <v/>
      </c>
      <c r="Q27" s="30">
        <f>IF(OR(N27="",P27=0),"",COUNTIFS(tblFornos[Forno],N27,tblFornos[Tipo],"Falha")/P27)</f>
        <v/>
      </c>
    </row>
    <row r="28">
      <c r="B28" s="15">
        <f>IFERROR(_Dados!T18,"")</f>
        <v/>
      </c>
      <c r="C28" s="29">
        <f>IFERROR(_Dados!U18,"")</f>
        <v/>
      </c>
      <c r="E28" s="15">
        <f>IFERROR(_Dados!V18,"")</f>
        <v/>
      </c>
      <c r="F28" s="29">
        <f>IFERROR(_Dados!W18,"")</f>
        <v/>
      </c>
      <c r="H28" s="15">
        <f>IFERROR(_Dados!X18,"")</f>
        <v/>
      </c>
      <c r="I28" s="29">
        <f>IFERROR(_Dados!Y18,"")</f>
        <v/>
      </c>
      <c r="K28" s="15">
        <f>IFERROR(_Dados!Z18,"")</f>
        <v/>
      </c>
      <c r="L28" s="29">
        <f>IFERROR(_Dados!AA18,"")</f>
        <v/>
      </c>
      <c r="N28" s="15">
        <f>IFERROR(INDEX(tblFornos[Forno],MATCH(LARGE(IF(COUNTIF($N$11:N27,tblFornos[Forno])=0,COUNTIFS(tblFornos[Forno],tblFornos[Forno])),1),IF(COUNTIF($N$11:N27,tblFornos[Forno])=0,COUNTIFS(tblFornos[Forno],tblFornos[Forno])),0)),"")</f>
        <v/>
      </c>
      <c r="O28" s="15">
        <f>IF(N28="","",COUNTIFS(tblFornos[Forno],N28,tblFornos[Tipo],"Operacao")&amp;"/"&amp;COUNTIFS(tblFornos[Forno],N28,tblFornos[Tipo],"Manutencao")&amp;"/"&amp;COUNTIFS(tblFornos[Forno],N28,tblFornos[Tipo],"Falha")&amp;"/"&amp;COUNTIFS(tblFornos[Forno],N28,tblFornos[Tipo],"Inspecao"))</f>
        <v/>
      </c>
      <c r="P28" s="15">
        <f>IF(N28="","",COUNTIFS(tblFornos[Forno],N28))</f>
        <v/>
      </c>
      <c r="Q28" s="30">
        <f>IF(OR(N28="",P28=0),"",COUNTIFS(tblFornos[Forno],N28,tblFornos[Tipo],"Falha")/P28)</f>
        <v/>
      </c>
    </row>
    <row r="29">
      <c r="B29" s="15">
        <f>IFERROR(_Dados!T19,"")</f>
        <v/>
      </c>
      <c r="C29" s="29">
        <f>IFERROR(_Dados!U19,"")</f>
        <v/>
      </c>
      <c r="E29" s="15">
        <f>IFERROR(_Dados!V19,"")</f>
        <v/>
      </c>
      <c r="F29" s="29">
        <f>IFERROR(_Dados!W19,"")</f>
        <v/>
      </c>
      <c r="H29" s="15">
        <f>IFERROR(_Dados!X19,"")</f>
        <v/>
      </c>
      <c r="I29" s="29">
        <f>IFERROR(_Dados!Y19,"")</f>
        <v/>
      </c>
      <c r="K29" s="15">
        <f>IFERROR(_Dados!Z19,"")</f>
        <v/>
      </c>
      <c r="L29" s="29">
        <f>IFERROR(_Dados!AA19,"")</f>
        <v/>
      </c>
      <c r="N29" s="15">
        <f>IFERROR(INDEX(tblFornos[Forno],MATCH(LARGE(IF(COUNTIF($N$11:N28,tblFornos[Forno])=0,COUNTIFS(tblFornos[Forno],tblFornos[Forno])),1),IF(COUNTIF($N$11:N28,tblFornos[Forno])=0,COUNTIFS(tblFornos[Forno],tblFornos[Forno])),0)),"")</f>
        <v/>
      </c>
      <c r="O29" s="15">
        <f>IF(N29="","",COUNTIFS(tblFornos[Forno],N29,tblFornos[Tipo],"Operacao")&amp;"/"&amp;COUNTIFS(tblFornos[Forno],N29,tblFornos[Tipo],"Manutencao")&amp;"/"&amp;COUNTIFS(tblFornos[Forno],N29,tblFornos[Tipo],"Falha")&amp;"/"&amp;COUNTIFS(tblFornos[Forno],N29,tblFornos[Tipo],"Inspecao"))</f>
        <v/>
      </c>
      <c r="P29" s="15">
        <f>IF(N29="","",COUNTIFS(tblFornos[Forno],N29))</f>
        <v/>
      </c>
      <c r="Q29" s="30">
        <f>IF(OR(N29="",P29=0),"",COUNTIFS(tblFornos[Forno],N29,tblFornos[Tipo],"Falha")/P29)</f>
        <v/>
      </c>
    </row>
    <row r="30">
      <c r="B30" s="15">
        <f>IFERROR(_Dados!T20,"")</f>
        <v/>
      </c>
      <c r="C30" s="29">
        <f>IFERROR(_Dados!U20,"")</f>
        <v/>
      </c>
      <c r="E30" s="15">
        <f>IFERROR(_Dados!V20,"")</f>
        <v/>
      </c>
      <c r="F30" s="29">
        <f>IFERROR(_Dados!W20,"")</f>
        <v/>
      </c>
      <c r="H30" s="15">
        <f>IFERROR(_Dados!X20,"")</f>
        <v/>
      </c>
      <c r="I30" s="29">
        <f>IFERROR(_Dados!Y20,"")</f>
        <v/>
      </c>
      <c r="K30" s="15">
        <f>IFERROR(_Dados!Z20,"")</f>
        <v/>
      </c>
      <c r="L30" s="29">
        <f>IFERROR(_Dados!AA20,"")</f>
        <v/>
      </c>
      <c r="N30" s="15">
        <f>IFERROR(INDEX(tblFornos[Forno],MATCH(LARGE(IF(COUNTIF($N$11:N29,tblFornos[Forno])=0,COUNTIFS(tblFornos[Forno],tblFornos[Forno])),1),IF(COUNTIF($N$11:N29,tblFornos[Forno])=0,COUNTIFS(tblFornos[Forno],tblFornos[Forno])),0)),"")</f>
        <v/>
      </c>
      <c r="O30" s="15">
        <f>IF(N30="","",COUNTIFS(tblFornos[Forno],N30,tblFornos[Tipo],"Operacao")&amp;"/"&amp;COUNTIFS(tblFornos[Forno],N30,tblFornos[Tipo],"Manutencao")&amp;"/"&amp;COUNTIFS(tblFornos[Forno],N30,tblFornos[Tipo],"Falha")&amp;"/"&amp;COUNTIFS(tblFornos[Forno],N30,tblFornos[Tipo],"Inspecao"))</f>
        <v/>
      </c>
      <c r="P30" s="15">
        <f>IF(N30="","",COUNTIFS(tblFornos[Forno],N30))</f>
        <v/>
      </c>
      <c r="Q30" s="30">
        <f>IF(OR(N30="",P30=0),"",COUNTIFS(tblFornos[Forno],N30,tblFornos[Tipo],"Falha")/P30)</f>
        <v/>
      </c>
    </row>
    <row r="31">
      <c r="B31" s="15">
        <f>IFERROR(_Dados!T21,"")</f>
        <v/>
      </c>
      <c r="C31" s="29">
        <f>IFERROR(_Dados!U21,"")</f>
        <v/>
      </c>
      <c r="E31" s="15">
        <f>IFERROR(_Dados!V21,"")</f>
        <v/>
      </c>
      <c r="F31" s="29">
        <f>IFERROR(_Dados!W21,"")</f>
        <v/>
      </c>
      <c r="H31" s="15">
        <f>IFERROR(_Dados!X21,"")</f>
        <v/>
      </c>
      <c r="I31" s="29">
        <f>IFERROR(_Dados!Y21,"")</f>
        <v/>
      </c>
      <c r="K31" s="15">
        <f>IFERROR(_Dados!Z21,"")</f>
        <v/>
      </c>
      <c r="L31" s="29">
        <f>IFERROR(_Dados!AA21,"")</f>
        <v/>
      </c>
      <c r="N31" s="15">
        <f>IFERROR(INDEX(tblFornos[Forno],MATCH(LARGE(IF(COUNTIF($N$11:N30,tblFornos[Forno])=0,COUNTIFS(tblFornos[Forno],tblFornos[Forno])),1),IF(COUNTIF($N$11:N30,tblFornos[Forno])=0,COUNTIFS(tblFornos[Forno],tblFornos[Forno])),0)),"")</f>
        <v/>
      </c>
      <c r="O31" s="15">
        <f>IF(N31="","",COUNTIFS(tblFornos[Forno],N31,tblFornos[Tipo],"Operacao")&amp;"/"&amp;COUNTIFS(tblFornos[Forno],N31,tblFornos[Tipo],"Manutencao")&amp;"/"&amp;COUNTIFS(tblFornos[Forno],N31,tblFornos[Tipo],"Falha")&amp;"/"&amp;COUNTIFS(tblFornos[Forno],N31,tblFornos[Tipo],"Inspecao"))</f>
        <v/>
      </c>
      <c r="P31" s="15">
        <f>IF(N31="","",COUNTIFS(tblFornos[Forno],N31))</f>
        <v/>
      </c>
      <c r="Q31" s="30">
        <f>IF(OR(N31="",P31=0),"",COUNTIFS(tblFornos[Forno],N31,tblFornos[Tipo],"Falha")/P31)</f>
        <v/>
      </c>
    </row>
    <row r="32">
      <c r="B32" s="31" t="inlineStr">
        <is>
          <t>TOTAL</t>
        </is>
      </c>
      <c r="C32" s="31">
        <f>COUNTIFS(tblFornos[Tipo],"Operacao")</f>
        <v/>
      </c>
      <c r="E32" s="32" t="inlineStr">
        <is>
          <t>TOTAL</t>
        </is>
      </c>
      <c r="F32" s="32">
        <f>COUNTIFS(tblFornos[Tipo],"Manutencao")</f>
        <v/>
      </c>
      <c r="H32" s="33" t="inlineStr">
        <is>
          <t>TOTAL</t>
        </is>
      </c>
      <c r="I32" s="33">
        <f>COUNTIFS(tblFornos[Tipo],"Falha")</f>
        <v/>
      </c>
      <c r="K32" s="34" t="inlineStr">
        <is>
          <t>TOTAL</t>
        </is>
      </c>
      <c r="L32" s="34">
        <f>COUNTIFS(tblFornos[Tipo],"Inspecao")</f>
        <v/>
      </c>
      <c r="N32" s="15">
        <f>IFERROR(INDEX(tblFornos[Forno],MATCH(LARGE(IF(COUNTIF($N$11:N31,tblFornos[Forno])=0,COUNTIFS(tblFornos[Forno],tblFornos[Forno])),1),IF(COUNTIF($N$11:N31,tblFornos[Forno])=0,COUNTIFS(tblFornos[Forno],tblFornos[Forno])),0)),"")</f>
        <v/>
      </c>
      <c r="O32" s="15">
        <f>IF(N32="","",COUNTIFS(tblFornos[Forno],N32,tblFornos[Tipo],"Operacao")&amp;"/"&amp;COUNTIFS(tblFornos[Forno],N32,tblFornos[Tipo],"Manutencao")&amp;"/"&amp;COUNTIFS(tblFornos[Forno],N32,tblFornos[Tipo],"Falha")&amp;"/"&amp;COUNTIFS(tblFornos[Forno],N32,tblFornos[Tipo],"Inspecao"))</f>
        <v/>
      </c>
      <c r="P32" s="15">
        <f>IF(N32="","",COUNTIFS(tblFornos[Forno],N32))</f>
        <v/>
      </c>
      <c r="Q32" s="30">
        <f>IF(OR(N32="",P32=0),"",COUNTIFS(tblFornos[Forno],N32,tblFornos[Tipo],"Falha")/P32)</f>
        <v/>
      </c>
    </row>
    <row r="33">
      <c r="N33" s="15">
        <f>IFERROR(INDEX(tblFornos[Forno],MATCH(LARGE(IF(COUNTIF($N$11:N32,tblFornos[Forno])=0,COUNTIFS(tblFornos[Forno],tblFornos[Forno])),1),IF(COUNTIF($N$11:N32,tblFornos[Forno])=0,COUNTIFS(tblFornos[Forno],tblFornos[Forno])),0)),"")</f>
        <v/>
      </c>
      <c r="O33" s="15">
        <f>IF(N33="","",COUNTIFS(tblFornos[Forno],N33,tblFornos[Tipo],"Operacao")&amp;"/"&amp;COUNTIFS(tblFornos[Forno],N33,tblFornos[Tipo],"Manutencao")&amp;"/"&amp;COUNTIFS(tblFornos[Forno],N33,tblFornos[Tipo],"Falha")&amp;"/"&amp;COUNTIFS(tblFornos[Forno],N33,tblFornos[Tipo],"Inspecao"))</f>
        <v/>
      </c>
      <c r="P33" s="15">
        <f>IF(N33="","",COUNTIFS(tblFornos[Forno],N33))</f>
        <v/>
      </c>
      <c r="Q33" s="30">
        <f>IF(OR(N33="",P33=0),"",COUNTIFS(tblFornos[Forno],N33,tblFornos[Tipo],"Falha")/P33)</f>
        <v/>
      </c>
    </row>
    <row r="34">
      <c r="N34" s="15">
        <f>IFERROR(INDEX(tblFornos[Forno],MATCH(LARGE(IF(COUNTIF($N$11:N33,tblFornos[Forno])=0,COUNTIFS(tblFornos[Forno],tblFornos[Forno])),1),IF(COUNTIF($N$11:N33,tblFornos[Forno])=0,COUNTIFS(tblFornos[Forno],tblFornos[Forno])),0)),"")</f>
        <v/>
      </c>
      <c r="O34" s="15">
        <f>IF(N34="","",COUNTIFS(tblFornos[Forno],N34,tblFornos[Tipo],"Operacao")&amp;"/"&amp;COUNTIFS(tblFornos[Forno],N34,tblFornos[Tipo],"Manutencao")&amp;"/"&amp;COUNTIFS(tblFornos[Forno],N34,tblFornos[Tipo],"Falha")&amp;"/"&amp;COUNTIFS(tblFornos[Forno],N34,tblFornos[Tipo],"Inspecao"))</f>
        <v/>
      </c>
      <c r="P34" s="15">
        <f>IF(N34="","",COUNTIFS(tblFornos[Forno],N34))</f>
        <v/>
      </c>
      <c r="Q34" s="30">
        <f>IF(OR(N34="",P34=0),"",COUNTIFS(tblFornos[Forno],N34,tblFornos[Tipo],"Falha")/P34)</f>
        <v/>
      </c>
    </row>
    <row r="35">
      <c r="N35" s="15">
        <f>IFERROR(INDEX(tblFornos[Forno],MATCH(LARGE(IF(COUNTIF($N$11:N34,tblFornos[Forno])=0,COUNTIFS(tblFornos[Forno],tblFornos[Forno])),1),IF(COUNTIF($N$11:N34,tblFornos[Forno])=0,COUNTIFS(tblFornos[Forno],tblFornos[Forno])),0)),"")</f>
        <v/>
      </c>
      <c r="O35" s="15">
        <f>IF(N35="","",COUNTIFS(tblFornos[Forno],N35,tblFornos[Tipo],"Operacao")&amp;"/"&amp;COUNTIFS(tblFornos[Forno],N35,tblFornos[Tipo],"Manutencao")&amp;"/"&amp;COUNTIFS(tblFornos[Forno],N35,tblFornos[Tipo],"Falha")&amp;"/"&amp;COUNTIFS(tblFornos[Forno],N35,tblFornos[Tipo],"Inspecao"))</f>
        <v/>
      </c>
      <c r="P35" s="15">
        <f>IF(N35="","",COUNTIFS(tblFornos[Forno],N35))</f>
        <v/>
      </c>
      <c r="Q35" s="30">
        <f>IF(OR(N35="",P35=0),"",COUNTIFS(tblFornos[Forno],N35,tblFornos[Tipo],"Falha")/P35)</f>
        <v/>
      </c>
    </row>
    <row r="36">
      <c r="N36" s="15">
        <f>IFERROR(INDEX(tblFornos[Forno],MATCH(LARGE(IF(COUNTIF($N$11:N35,tblFornos[Forno])=0,COUNTIFS(tblFornos[Forno],tblFornos[Forno])),1),IF(COUNTIF($N$11:N35,tblFornos[Forno])=0,COUNTIFS(tblFornos[Forno],tblFornos[Forno])),0)),"")</f>
        <v/>
      </c>
      <c r="O36" s="15">
        <f>IF(N36="","",COUNTIFS(tblFornos[Forno],N36,tblFornos[Tipo],"Operacao")&amp;"/"&amp;COUNTIFS(tblFornos[Forno],N36,tblFornos[Tipo],"Manutencao")&amp;"/"&amp;COUNTIFS(tblFornos[Forno],N36,tblFornos[Tipo],"Falha")&amp;"/"&amp;COUNTIFS(tblFornos[Forno],N36,tblFornos[Tipo],"Inspecao"))</f>
        <v/>
      </c>
      <c r="P36" s="15">
        <f>IF(N36="","",COUNTIFS(tblFornos[Forno],N36))</f>
        <v/>
      </c>
      <c r="Q36" s="30">
        <f>IF(OR(N36="",P36=0),"",COUNTIFS(tblFornos[Forno],N36,tblFornos[Tipo],"Falha")/P36)</f>
        <v/>
      </c>
    </row>
    <row r="37">
      <c r="N37" s="16" t="inlineStr">
        <is>
          <t>TOTAL GERAL</t>
        </is>
      </c>
      <c r="O37" s="16">
        <f>COUNTIFS(tblFornos[Tipo],"Operacao")&amp;"/"&amp;COUNTIFS(tblFornos[Tipo],"Manutencao")&amp;"/"&amp;COUNTIFS(tblFornos[Tipo],"Falha")&amp;"/"&amp;COUNTIFS(tblFornos[Tipo],"Inspecao")</f>
        <v/>
      </c>
      <c r="P37" s="16">
        <f>COUNTA(tblFornos[ID])</f>
        <v/>
      </c>
      <c r="Q37" s="35">
        <f>IF(P37=0,"",COUNTIFS(tblFornos[Tipo],"Falha")/P37)</f>
        <v/>
      </c>
    </row>
  </sheetData>
  <mergeCells count="11">
    <mergeCell ref="M4:Q5"/>
    <mergeCell ref="N10:Q10"/>
    <mergeCell ref="G4:H5"/>
    <mergeCell ref="J4:K5"/>
    <mergeCell ref="E10:F10"/>
    <mergeCell ref="H10:I10"/>
    <mergeCell ref="B9:Q9"/>
    <mergeCell ref="B10:C10"/>
    <mergeCell ref="K10:L10"/>
    <mergeCell ref="B2:Q2"/>
    <mergeCell ref="B7:Q7"/>
  </mergeCells>
  <conditionalFormatting sqref="Q12:Q36">
    <cfRule type="colorScale" priority="1">
      <colorScale>
        <cfvo type="min"/>
        <cfvo type="max"/>
        <color rgb="00FFFFFF"/>
        <color rgb="00C00000"/>
      </colorScale>
    </cfRule>
  </conditionalFormatting>
  <dataValidations count="4">
    <dataValidation sqref="B5" showDropDown="0" showInputMessage="0" showErrorMessage="0" allowBlank="0" type="date" operator="between">
      <formula1>DATE(2000,1,1)</formula1>
      <formula2>DATE(2100,12,31)</formula2>
    </dataValidation>
    <dataValidation sqref="C5" showDropDown="0" showInputMessage="0" showErrorMessage="0" allowBlank="0" type="whole" operator="between">
      <formula1>1</formula1>
      <formula2>99999</formula2>
    </dataValidation>
    <dataValidation sqref="D5" showDropDown="0" showInputMessage="0" showErrorMessage="0" allowBlank="0" type="list">
      <formula1>"Operacao,Manutencao,Falha,Inspecao"</formula1>
    </dataValidation>
    <dataValidation sqref="E5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2:J161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</cols>
  <sheetData>
    <row r="2" ht="36" customHeight="1">
      <c r="B2" s="17" t="inlineStr">
        <is>
          <t>FILTROS E ANALISE DETALHADA</t>
        </is>
      </c>
    </row>
    <row r="4" ht="18" customHeight="1">
      <c r="B4" s="18" t="inlineStr">
        <is>
          <t>Data inicial</t>
        </is>
      </c>
      <c r="C4" s="18" t="inlineStr">
        <is>
          <t>Data final</t>
        </is>
      </c>
      <c r="D4" s="18" t="inlineStr">
        <is>
          <t>Forno</t>
        </is>
      </c>
      <c r="E4" s="18" t="inlineStr">
        <is>
          <t>Tipo</t>
        </is>
      </c>
      <c r="F4" s="18" t="inlineStr">
        <is>
          <t>Lado</t>
        </is>
      </c>
      <c r="G4" s="18" t="inlineStr">
        <is>
          <t>Dia</t>
        </is>
      </c>
      <c r="H4" s="18" t="inlineStr">
        <is>
          <t>Mes</t>
        </is>
      </c>
      <c r="I4" s="18" t="inlineStr">
        <is>
          <t>Ano</t>
        </is>
      </c>
      <c r="J4" s="20" t="inlineStr">
        <is>
          <t>LIMPAR</t>
        </is>
      </c>
    </row>
    <row r="5" ht="28" customHeight="1">
      <c r="B5" s="22" t="inlineStr"/>
      <c r="C5" s="22" t="inlineStr"/>
      <c r="D5" s="23" t="inlineStr"/>
      <c r="E5" s="23" t="inlineStr"/>
      <c r="F5" s="23" t="inlineStr"/>
      <c r="G5" s="23" t="inlineStr"/>
      <c r="H5" s="23" t="inlineStr"/>
      <c r="I5" s="23" t="inlineStr"/>
    </row>
    <row r="7" ht="22" customHeight="1">
      <c r="B7" s="18" t="inlineStr">
        <is>
          <t>Busca livre</t>
        </is>
      </c>
      <c r="C7" s="36" t="inlineStr"/>
      <c r="J7" s="37" t="inlineStr">
        <is>
          <t>(forno, tipo, lado)</t>
        </is>
      </c>
    </row>
    <row r="9" ht="24" customHeight="1">
      <c r="B9" s="12">
        <f>" Resultados encontrados: "&amp;SUMPRODUCT(--(_Dados!AC2:AC201&lt;&gt;""))&amp;"  registros"</f>
        <v/>
      </c>
    </row>
    <row r="11">
      <c r="B11" s="13" t="inlineStr">
        <is>
          <t>ID</t>
        </is>
      </c>
      <c r="C11" s="13" t="inlineStr">
        <is>
          <t>Data</t>
        </is>
      </c>
      <c r="D11" s="13" t="inlineStr">
        <is>
          <t>Forno</t>
        </is>
      </c>
      <c r="E11" s="13" t="inlineStr">
        <is>
          <t>Tipo</t>
        </is>
      </c>
      <c r="F11" s="13" t="inlineStr">
        <is>
          <t>Lado</t>
        </is>
      </c>
      <c r="G11" s="13" t="inlineStr">
        <is>
          <t>Dia</t>
        </is>
      </c>
      <c r="H11" s="13" t="inlineStr">
        <is>
          <t>Mes</t>
        </is>
      </c>
      <c r="I11" s="13" t="inlineStr">
        <is>
          <t>Ano</t>
        </is>
      </c>
      <c r="J11" s="13" t="inlineStr">
        <is>
          <t>Semana</t>
        </is>
      </c>
    </row>
    <row r="12">
      <c r="B12" s="15">
        <f>IFERROR(_Dados!AC2,"")</f>
        <v/>
      </c>
      <c r="C12" s="38">
        <f>IFERROR(_Dados!AD2,"")</f>
        <v/>
      </c>
      <c r="D12" s="15">
        <f>IFERROR(_Dados!AE2,"")</f>
        <v/>
      </c>
      <c r="E12" s="15">
        <f>IFERROR(_Dados!AF2,"")</f>
        <v/>
      </c>
      <c r="F12" s="15">
        <f>IFERROR(_Dados!AG2,"")</f>
        <v/>
      </c>
      <c r="G12" s="15">
        <f>IF(_Dados!AD2="","",DAY(_Dados!AD2))</f>
        <v/>
      </c>
      <c r="H12" s="15">
        <f>IF(_Dados!AD2="","",MONTH(_Dados!AD2))</f>
        <v/>
      </c>
      <c r="I12" s="15">
        <f>IF(_Dados!AD2="","",YEAR(_Dados!AD2))</f>
        <v/>
      </c>
      <c r="J12" s="15">
        <f>IF(_Dados!AD2="","",WEEKNUM(_Dados!AD2))</f>
        <v/>
      </c>
    </row>
    <row r="13">
      <c r="B13" s="15">
        <f>IFERROR(_Dados!AC3,"")</f>
        <v/>
      </c>
      <c r="C13" s="38">
        <f>IFERROR(_Dados!AD3,"")</f>
        <v/>
      </c>
      <c r="D13" s="15">
        <f>IFERROR(_Dados!AE3,"")</f>
        <v/>
      </c>
      <c r="E13" s="15">
        <f>IFERROR(_Dados!AF3,"")</f>
        <v/>
      </c>
      <c r="F13" s="15">
        <f>IFERROR(_Dados!AG3,"")</f>
        <v/>
      </c>
      <c r="G13" s="15">
        <f>IF(_Dados!AD3="","",DAY(_Dados!AD3))</f>
        <v/>
      </c>
      <c r="H13" s="15">
        <f>IF(_Dados!AD3="","",MONTH(_Dados!AD3))</f>
        <v/>
      </c>
      <c r="I13" s="15">
        <f>IF(_Dados!AD3="","",YEAR(_Dados!AD3))</f>
        <v/>
      </c>
      <c r="J13" s="15">
        <f>IF(_Dados!AD3="","",WEEKNUM(_Dados!AD3))</f>
        <v/>
      </c>
    </row>
    <row r="14">
      <c r="B14" s="15">
        <f>IFERROR(_Dados!AC4,"")</f>
        <v/>
      </c>
      <c r="C14" s="38">
        <f>IFERROR(_Dados!AD4,"")</f>
        <v/>
      </c>
      <c r="D14" s="15">
        <f>IFERROR(_Dados!AE4,"")</f>
        <v/>
      </c>
      <c r="E14" s="15">
        <f>IFERROR(_Dados!AF4,"")</f>
        <v/>
      </c>
      <c r="F14" s="15">
        <f>IFERROR(_Dados!AG4,"")</f>
        <v/>
      </c>
      <c r="G14" s="15">
        <f>IF(_Dados!AD4="","",DAY(_Dados!AD4))</f>
        <v/>
      </c>
      <c r="H14" s="15">
        <f>IF(_Dados!AD4="","",MONTH(_Dados!AD4))</f>
        <v/>
      </c>
      <c r="I14" s="15">
        <f>IF(_Dados!AD4="","",YEAR(_Dados!AD4))</f>
        <v/>
      </c>
      <c r="J14" s="15">
        <f>IF(_Dados!AD4="","",WEEKNUM(_Dados!AD4))</f>
        <v/>
      </c>
    </row>
    <row r="15">
      <c r="B15" s="15">
        <f>IFERROR(_Dados!AC5,"")</f>
        <v/>
      </c>
      <c r="C15" s="38">
        <f>IFERROR(_Dados!AD5,"")</f>
        <v/>
      </c>
      <c r="D15" s="15">
        <f>IFERROR(_Dados!AE5,"")</f>
        <v/>
      </c>
      <c r="E15" s="15">
        <f>IFERROR(_Dados!AF5,"")</f>
        <v/>
      </c>
      <c r="F15" s="15">
        <f>IFERROR(_Dados!AG5,"")</f>
        <v/>
      </c>
      <c r="G15" s="15">
        <f>IF(_Dados!AD5="","",DAY(_Dados!AD5))</f>
        <v/>
      </c>
      <c r="H15" s="15">
        <f>IF(_Dados!AD5="","",MONTH(_Dados!AD5))</f>
        <v/>
      </c>
      <c r="I15" s="15">
        <f>IF(_Dados!AD5="","",YEAR(_Dados!AD5))</f>
        <v/>
      </c>
      <c r="J15" s="15">
        <f>IF(_Dados!AD5="","",WEEKNUM(_Dados!AD5))</f>
        <v/>
      </c>
    </row>
    <row r="16">
      <c r="B16" s="15">
        <f>IFERROR(_Dados!AC6,"")</f>
        <v/>
      </c>
      <c r="C16" s="38">
        <f>IFERROR(_Dados!AD6,"")</f>
        <v/>
      </c>
      <c r="D16" s="15">
        <f>IFERROR(_Dados!AE6,"")</f>
        <v/>
      </c>
      <c r="E16" s="15">
        <f>IFERROR(_Dados!AF6,"")</f>
        <v/>
      </c>
      <c r="F16" s="15">
        <f>IFERROR(_Dados!AG6,"")</f>
        <v/>
      </c>
      <c r="G16" s="15">
        <f>IF(_Dados!AD6="","",DAY(_Dados!AD6))</f>
        <v/>
      </c>
      <c r="H16" s="15">
        <f>IF(_Dados!AD6="","",MONTH(_Dados!AD6))</f>
        <v/>
      </c>
      <c r="I16" s="15">
        <f>IF(_Dados!AD6="","",YEAR(_Dados!AD6))</f>
        <v/>
      </c>
      <c r="J16" s="15">
        <f>IF(_Dados!AD6="","",WEEKNUM(_Dados!AD6))</f>
        <v/>
      </c>
    </row>
    <row r="17">
      <c r="B17" s="15">
        <f>IFERROR(_Dados!AC7,"")</f>
        <v/>
      </c>
      <c r="C17" s="38">
        <f>IFERROR(_Dados!AD7,"")</f>
        <v/>
      </c>
      <c r="D17" s="15">
        <f>IFERROR(_Dados!AE7,"")</f>
        <v/>
      </c>
      <c r="E17" s="15">
        <f>IFERROR(_Dados!AF7,"")</f>
        <v/>
      </c>
      <c r="F17" s="15">
        <f>IFERROR(_Dados!AG7,"")</f>
        <v/>
      </c>
      <c r="G17" s="15">
        <f>IF(_Dados!AD7="","",DAY(_Dados!AD7))</f>
        <v/>
      </c>
      <c r="H17" s="15">
        <f>IF(_Dados!AD7="","",MONTH(_Dados!AD7))</f>
        <v/>
      </c>
      <c r="I17" s="15">
        <f>IF(_Dados!AD7="","",YEAR(_Dados!AD7))</f>
        <v/>
      </c>
      <c r="J17" s="15">
        <f>IF(_Dados!AD7="","",WEEKNUM(_Dados!AD7))</f>
        <v/>
      </c>
    </row>
    <row r="18">
      <c r="B18" s="15">
        <f>IFERROR(_Dados!AC8,"")</f>
        <v/>
      </c>
      <c r="C18" s="38">
        <f>IFERROR(_Dados!AD8,"")</f>
        <v/>
      </c>
      <c r="D18" s="15">
        <f>IFERROR(_Dados!AE8,"")</f>
        <v/>
      </c>
      <c r="E18" s="15">
        <f>IFERROR(_Dados!AF8,"")</f>
        <v/>
      </c>
      <c r="F18" s="15">
        <f>IFERROR(_Dados!AG8,"")</f>
        <v/>
      </c>
      <c r="G18" s="15">
        <f>IF(_Dados!AD8="","",DAY(_Dados!AD8))</f>
        <v/>
      </c>
      <c r="H18" s="15">
        <f>IF(_Dados!AD8="","",MONTH(_Dados!AD8))</f>
        <v/>
      </c>
      <c r="I18" s="15">
        <f>IF(_Dados!AD8="","",YEAR(_Dados!AD8))</f>
        <v/>
      </c>
      <c r="J18" s="15">
        <f>IF(_Dados!AD8="","",WEEKNUM(_Dados!AD8))</f>
        <v/>
      </c>
    </row>
    <row r="19">
      <c r="B19" s="15">
        <f>IFERROR(_Dados!AC9,"")</f>
        <v/>
      </c>
      <c r="C19" s="38">
        <f>IFERROR(_Dados!AD9,"")</f>
        <v/>
      </c>
      <c r="D19" s="15">
        <f>IFERROR(_Dados!AE9,"")</f>
        <v/>
      </c>
      <c r="E19" s="15">
        <f>IFERROR(_Dados!AF9,"")</f>
        <v/>
      </c>
      <c r="F19" s="15">
        <f>IFERROR(_Dados!AG9,"")</f>
        <v/>
      </c>
      <c r="G19" s="15">
        <f>IF(_Dados!AD9="","",DAY(_Dados!AD9))</f>
        <v/>
      </c>
      <c r="H19" s="15">
        <f>IF(_Dados!AD9="","",MONTH(_Dados!AD9))</f>
        <v/>
      </c>
      <c r="I19" s="15">
        <f>IF(_Dados!AD9="","",YEAR(_Dados!AD9))</f>
        <v/>
      </c>
      <c r="J19" s="15">
        <f>IF(_Dados!AD9="","",WEEKNUM(_Dados!AD9))</f>
        <v/>
      </c>
    </row>
    <row r="20">
      <c r="B20" s="15">
        <f>IFERROR(_Dados!AC10,"")</f>
        <v/>
      </c>
      <c r="C20" s="38">
        <f>IFERROR(_Dados!AD10,"")</f>
        <v/>
      </c>
      <c r="D20" s="15">
        <f>IFERROR(_Dados!AE10,"")</f>
        <v/>
      </c>
      <c r="E20" s="15">
        <f>IFERROR(_Dados!AF10,"")</f>
        <v/>
      </c>
      <c r="F20" s="15">
        <f>IFERROR(_Dados!AG10,"")</f>
        <v/>
      </c>
      <c r="G20" s="15">
        <f>IF(_Dados!AD10="","",DAY(_Dados!AD10))</f>
        <v/>
      </c>
      <c r="H20" s="15">
        <f>IF(_Dados!AD10="","",MONTH(_Dados!AD10))</f>
        <v/>
      </c>
      <c r="I20" s="15">
        <f>IF(_Dados!AD10="","",YEAR(_Dados!AD10))</f>
        <v/>
      </c>
      <c r="J20" s="15">
        <f>IF(_Dados!AD10="","",WEEKNUM(_Dados!AD10))</f>
        <v/>
      </c>
    </row>
    <row r="21">
      <c r="B21" s="15">
        <f>IFERROR(_Dados!AC11,"")</f>
        <v/>
      </c>
      <c r="C21" s="38">
        <f>IFERROR(_Dados!AD11,"")</f>
        <v/>
      </c>
      <c r="D21" s="15">
        <f>IFERROR(_Dados!AE11,"")</f>
        <v/>
      </c>
      <c r="E21" s="15">
        <f>IFERROR(_Dados!AF11,"")</f>
        <v/>
      </c>
      <c r="F21" s="15">
        <f>IFERROR(_Dados!AG11,"")</f>
        <v/>
      </c>
      <c r="G21" s="15">
        <f>IF(_Dados!AD11="","",DAY(_Dados!AD11))</f>
        <v/>
      </c>
      <c r="H21" s="15">
        <f>IF(_Dados!AD11="","",MONTH(_Dados!AD11))</f>
        <v/>
      </c>
      <c r="I21" s="15">
        <f>IF(_Dados!AD11="","",YEAR(_Dados!AD11))</f>
        <v/>
      </c>
      <c r="J21" s="15">
        <f>IF(_Dados!AD11="","",WEEKNUM(_Dados!AD11))</f>
        <v/>
      </c>
    </row>
    <row r="22">
      <c r="B22" s="15">
        <f>IFERROR(_Dados!AC12,"")</f>
        <v/>
      </c>
      <c r="C22" s="38">
        <f>IFERROR(_Dados!AD12,"")</f>
        <v/>
      </c>
      <c r="D22" s="15">
        <f>IFERROR(_Dados!AE12,"")</f>
        <v/>
      </c>
      <c r="E22" s="15">
        <f>IFERROR(_Dados!AF12,"")</f>
        <v/>
      </c>
      <c r="F22" s="15">
        <f>IFERROR(_Dados!AG12,"")</f>
        <v/>
      </c>
      <c r="G22" s="15">
        <f>IF(_Dados!AD12="","",DAY(_Dados!AD12))</f>
        <v/>
      </c>
      <c r="H22" s="15">
        <f>IF(_Dados!AD12="","",MONTH(_Dados!AD12))</f>
        <v/>
      </c>
      <c r="I22" s="15">
        <f>IF(_Dados!AD12="","",YEAR(_Dados!AD12))</f>
        <v/>
      </c>
      <c r="J22" s="15">
        <f>IF(_Dados!AD12="","",WEEKNUM(_Dados!AD12))</f>
        <v/>
      </c>
    </row>
    <row r="23">
      <c r="B23" s="15">
        <f>IFERROR(_Dados!AC13,"")</f>
        <v/>
      </c>
      <c r="C23" s="38">
        <f>IFERROR(_Dados!AD13,"")</f>
        <v/>
      </c>
      <c r="D23" s="15">
        <f>IFERROR(_Dados!AE13,"")</f>
        <v/>
      </c>
      <c r="E23" s="15">
        <f>IFERROR(_Dados!AF13,"")</f>
        <v/>
      </c>
      <c r="F23" s="15">
        <f>IFERROR(_Dados!AG13,"")</f>
        <v/>
      </c>
      <c r="G23" s="15">
        <f>IF(_Dados!AD13="","",DAY(_Dados!AD13))</f>
        <v/>
      </c>
      <c r="H23" s="15">
        <f>IF(_Dados!AD13="","",MONTH(_Dados!AD13))</f>
        <v/>
      </c>
      <c r="I23" s="15">
        <f>IF(_Dados!AD13="","",YEAR(_Dados!AD13))</f>
        <v/>
      </c>
      <c r="J23" s="15">
        <f>IF(_Dados!AD13="","",WEEKNUM(_Dados!AD13))</f>
        <v/>
      </c>
    </row>
    <row r="24">
      <c r="B24" s="15">
        <f>IFERROR(_Dados!AC14,"")</f>
        <v/>
      </c>
      <c r="C24" s="38">
        <f>IFERROR(_Dados!AD14,"")</f>
        <v/>
      </c>
      <c r="D24" s="15">
        <f>IFERROR(_Dados!AE14,"")</f>
        <v/>
      </c>
      <c r="E24" s="15">
        <f>IFERROR(_Dados!AF14,"")</f>
        <v/>
      </c>
      <c r="F24" s="15">
        <f>IFERROR(_Dados!AG14,"")</f>
        <v/>
      </c>
      <c r="G24" s="15">
        <f>IF(_Dados!AD14="","",DAY(_Dados!AD14))</f>
        <v/>
      </c>
      <c r="H24" s="15">
        <f>IF(_Dados!AD14="","",MONTH(_Dados!AD14))</f>
        <v/>
      </c>
      <c r="I24" s="15">
        <f>IF(_Dados!AD14="","",YEAR(_Dados!AD14))</f>
        <v/>
      </c>
      <c r="J24" s="15">
        <f>IF(_Dados!AD14="","",WEEKNUM(_Dados!AD14))</f>
        <v/>
      </c>
    </row>
    <row r="25">
      <c r="B25" s="15">
        <f>IFERROR(_Dados!AC15,"")</f>
        <v/>
      </c>
      <c r="C25" s="38">
        <f>IFERROR(_Dados!AD15,"")</f>
        <v/>
      </c>
      <c r="D25" s="15">
        <f>IFERROR(_Dados!AE15,"")</f>
        <v/>
      </c>
      <c r="E25" s="15">
        <f>IFERROR(_Dados!AF15,"")</f>
        <v/>
      </c>
      <c r="F25" s="15">
        <f>IFERROR(_Dados!AG15,"")</f>
        <v/>
      </c>
      <c r="G25" s="15">
        <f>IF(_Dados!AD15="","",DAY(_Dados!AD15))</f>
        <v/>
      </c>
      <c r="H25" s="15">
        <f>IF(_Dados!AD15="","",MONTH(_Dados!AD15))</f>
        <v/>
      </c>
      <c r="I25" s="15">
        <f>IF(_Dados!AD15="","",YEAR(_Dados!AD15))</f>
        <v/>
      </c>
      <c r="J25" s="15">
        <f>IF(_Dados!AD15="","",WEEKNUM(_Dados!AD15))</f>
        <v/>
      </c>
    </row>
    <row r="26">
      <c r="B26" s="15">
        <f>IFERROR(_Dados!AC16,"")</f>
        <v/>
      </c>
      <c r="C26" s="38">
        <f>IFERROR(_Dados!AD16,"")</f>
        <v/>
      </c>
      <c r="D26" s="15">
        <f>IFERROR(_Dados!AE16,"")</f>
        <v/>
      </c>
      <c r="E26" s="15">
        <f>IFERROR(_Dados!AF16,"")</f>
        <v/>
      </c>
      <c r="F26" s="15">
        <f>IFERROR(_Dados!AG16,"")</f>
        <v/>
      </c>
      <c r="G26" s="15">
        <f>IF(_Dados!AD16="","",DAY(_Dados!AD16))</f>
        <v/>
      </c>
      <c r="H26" s="15">
        <f>IF(_Dados!AD16="","",MONTH(_Dados!AD16))</f>
        <v/>
      </c>
      <c r="I26" s="15">
        <f>IF(_Dados!AD16="","",YEAR(_Dados!AD16))</f>
        <v/>
      </c>
      <c r="J26" s="15">
        <f>IF(_Dados!AD16="","",WEEKNUM(_Dados!AD16))</f>
        <v/>
      </c>
    </row>
    <row r="27">
      <c r="B27" s="15">
        <f>IFERROR(_Dados!AC17,"")</f>
        <v/>
      </c>
      <c r="C27" s="38">
        <f>IFERROR(_Dados!AD17,"")</f>
        <v/>
      </c>
      <c r="D27" s="15">
        <f>IFERROR(_Dados!AE17,"")</f>
        <v/>
      </c>
      <c r="E27" s="15">
        <f>IFERROR(_Dados!AF17,"")</f>
        <v/>
      </c>
      <c r="F27" s="15">
        <f>IFERROR(_Dados!AG17,"")</f>
        <v/>
      </c>
      <c r="G27" s="15">
        <f>IF(_Dados!AD17="","",DAY(_Dados!AD17))</f>
        <v/>
      </c>
      <c r="H27" s="15">
        <f>IF(_Dados!AD17="","",MONTH(_Dados!AD17))</f>
        <v/>
      </c>
      <c r="I27" s="15">
        <f>IF(_Dados!AD17="","",YEAR(_Dados!AD17))</f>
        <v/>
      </c>
      <c r="J27" s="15">
        <f>IF(_Dados!AD17="","",WEEKNUM(_Dados!AD17))</f>
        <v/>
      </c>
    </row>
    <row r="28">
      <c r="B28" s="15">
        <f>IFERROR(_Dados!AC18,"")</f>
        <v/>
      </c>
      <c r="C28" s="38">
        <f>IFERROR(_Dados!AD18,"")</f>
        <v/>
      </c>
      <c r="D28" s="15">
        <f>IFERROR(_Dados!AE18,"")</f>
        <v/>
      </c>
      <c r="E28" s="15">
        <f>IFERROR(_Dados!AF18,"")</f>
        <v/>
      </c>
      <c r="F28" s="15">
        <f>IFERROR(_Dados!AG18,"")</f>
        <v/>
      </c>
      <c r="G28" s="15">
        <f>IF(_Dados!AD18="","",DAY(_Dados!AD18))</f>
        <v/>
      </c>
      <c r="H28" s="15">
        <f>IF(_Dados!AD18="","",MONTH(_Dados!AD18))</f>
        <v/>
      </c>
      <c r="I28" s="15">
        <f>IF(_Dados!AD18="","",YEAR(_Dados!AD18))</f>
        <v/>
      </c>
      <c r="J28" s="15">
        <f>IF(_Dados!AD18="","",WEEKNUM(_Dados!AD18))</f>
        <v/>
      </c>
    </row>
    <row r="29">
      <c r="B29" s="15">
        <f>IFERROR(_Dados!AC19,"")</f>
        <v/>
      </c>
      <c r="C29" s="38">
        <f>IFERROR(_Dados!AD19,"")</f>
        <v/>
      </c>
      <c r="D29" s="15">
        <f>IFERROR(_Dados!AE19,"")</f>
        <v/>
      </c>
      <c r="E29" s="15">
        <f>IFERROR(_Dados!AF19,"")</f>
        <v/>
      </c>
      <c r="F29" s="15">
        <f>IFERROR(_Dados!AG19,"")</f>
        <v/>
      </c>
      <c r="G29" s="15">
        <f>IF(_Dados!AD19="","",DAY(_Dados!AD19))</f>
        <v/>
      </c>
      <c r="H29" s="15">
        <f>IF(_Dados!AD19="","",MONTH(_Dados!AD19))</f>
        <v/>
      </c>
      <c r="I29" s="15">
        <f>IF(_Dados!AD19="","",YEAR(_Dados!AD19))</f>
        <v/>
      </c>
      <c r="J29" s="15">
        <f>IF(_Dados!AD19="","",WEEKNUM(_Dados!AD19))</f>
        <v/>
      </c>
    </row>
    <row r="30">
      <c r="B30" s="15">
        <f>IFERROR(_Dados!AC20,"")</f>
        <v/>
      </c>
      <c r="C30" s="38">
        <f>IFERROR(_Dados!AD20,"")</f>
        <v/>
      </c>
      <c r="D30" s="15">
        <f>IFERROR(_Dados!AE20,"")</f>
        <v/>
      </c>
      <c r="E30" s="15">
        <f>IFERROR(_Dados!AF20,"")</f>
        <v/>
      </c>
      <c r="F30" s="15">
        <f>IFERROR(_Dados!AG20,"")</f>
        <v/>
      </c>
      <c r="G30" s="15">
        <f>IF(_Dados!AD20="","",DAY(_Dados!AD20))</f>
        <v/>
      </c>
      <c r="H30" s="15">
        <f>IF(_Dados!AD20="","",MONTH(_Dados!AD20))</f>
        <v/>
      </c>
      <c r="I30" s="15">
        <f>IF(_Dados!AD20="","",YEAR(_Dados!AD20))</f>
        <v/>
      </c>
      <c r="J30" s="15">
        <f>IF(_Dados!AD20="","",WEEKNUM(_Dados!AD20))</f>
        <v/>
      </c>
    </row>
    <row r="31">
      <c r="B31" s="15">
        <f>IFERROR(_Dados!AC21,"")</f>
        <v/>
      </c>
      <c r="C31" s="38">
        <f>IFERROR(_Dados!AD21,"")</f>
        <v/>
      </c>
      <c r="D31" s="15">
        <f>IFERROR(_Dados!AE21,"")</f>
        <v/>
      </c>
      <c r="E31" s="15">
        <f>IFERROR(_Dados!AF21,"")</f>
        <v/>
      </c>
      <c r="F31" s="15">
        <f>IFERROR(_Dados!AG21,"")</f>
        <v/>
      </c>
      <c r="G31" s="15">
        <f>IF(_Dados!AD21="","",DAY(_Dados!AD21))</f>
        <v/>
      </c>
      <c r="H31" s="15">
        <f>IF(_Dados!AD21="","",MONTH(_Dados!AD21))</f>
        <v/>
      </c>
      <c r="I31" s="15">
        <f>IF(_Dados!AD21="","",YEAR(_Dados!AD21))</f>
        <v/>
      </c>
      <c r="J31" s="15">
        <f>IF(_Dados!AD21="","",WEEKNUM(_Dados!AD21))</f>
        <v/>
      </c>
    </row>
    <row r="32">
      <c r="B32" s="15">
        <f>IFERROR(_Dados!AC22,"")</f>
        <v/>
      </c>
      <c r="C32" s="38">
        <f>IFERROR(_Dados!AD22,"")</f>
        <v/>
      </c>
      <c r="D32" s="15">
        <f>IFERROR(_Dados!AE22,"")</f>
        <v/>
      </c>
      <c r="E32" s="15">
        <f>IFERROR(_Dados!AF22,"")</f>
        <v/>
      </c>
      <c r="F32" s="15">
        <f>IFERROR(_Dados!AG22,"")</f>
        <v/>
      </c>
      <c r="G32" s="15">
        <f>IF(_Dados!AD22="","",DAY(_Dados!AD22))</f>
        <v/>
      </c>
      <c r="H32" s="15">
        <f>IF(_Dados!AD22="","",MONTH(_Dados!AD22))</f>
        <v/>
      </c>
      <c r="I32" s="15">
        <f>IF(_Dados!AD22="","",YEAR(_Dados!AD22))</f>
        <v/>
      </c>
      <c r="J32" s="15">
        <f>IF(_Dados!AD22="","",WEEKNUM(_Dados!AD22))</f>
        <v/>
      </c>
    </row>
    <row r="33">
      <c r="B33" s="15">
        <f>IFERROR(_Dados!AC23,"")</f>
        <v/>
      </c>
      <c r="C33" s="38">
        <f>IFERROR(_Dados!AD23,"")</f>
        <v/>
      </c>
      <c r="D33" s="15">
        <f>IFERROR(_Dados!AE23,"")</f>
        <v/>
      </c>
      <c r="E33" s="15">
        <f>IFERROR(_Dados!AF23,"")</f>
        <v/>
      </c>
      <c r="F33" s="15">
        <f>IFERROR(_Dados!AG23,"")</f>
        <v/>
      </c>
      <c r="G33" s="15">
        <f>IF(_Dados!AD23="","",DAY(_Dados!AD23))</f>
        <v/>
      </c>
      <c r="H33" s="15">
        <f>IF(_Dados!AD23="","",MONTH(_Dados!AD23))</f>
        <v/>
      </c>
      <c r="I33" s="15">
        <f>IF(_Dados!AD23="","",YEAR(_Dados!AD23))</f>
        <v/>
      </c>
      <c r="J33" s="15">
        <f>IF(_Dados!AD23="","",WEEKNUM(_Dados!AD23))</f>
        <v/>
      </c>
    </row>
    <row r="34">
      <c r="B34" s="15">
        <f>IFERROR(_Dados!AC24,"")</f>
        <v/>
      </c>
      <c r="C34" s="38">
        <f>IFERROR(_Dados!AD24,"")</f>
        <v/>
      </c>
      <c r="D34" s="15">
        <f>IFERROR(_Dados!AE24,"")</f>
        <v/>
      </c>
      <c r="E34" s="15">
        <f>IFERROR(_Dados!AF24,"")</f>
        <v/>
      </c>
      <c r="F34" s="15">
        <f>IFERROR(_Dados!AG24,"")</f>
        <v/>
      </c>
      <c r="G34" s="15">
        <f>IF(_Dados!AD24="","",DAY(_Dados!AD24))</f>
        <v/>
      </c>
      <c r="H34" s="15">
        <f>IF(_Dados!AD24="","",MONTH(_Dados!AD24))</f>
        <v/>
      </c>
      <c r="I34" s="15">
        <f>IF(_Dados!AD24="","",YEAR(_Dados!AD24))</f>
        <v/>
      </c>
      <c r="J34" s="15">
        <f>IF(_Dados!AD24="","",WEEKNUM(_Dados!AD24))</f>
        <v/>
      </c>
    </row>
    <row r="35">
      <c r="B35" s="15">
        <f>IFERROR(_Dados!AC25,"")</f>
        <v/>
      </c>
      <c r="C35" s="38">
        <f>IFERROR(_Dados!AD25,"")</f>
        <v/>
      </c>
      <c r="D35" s="15">
        <f>IFERROR(_Dados!AE25,"")</f>
        <v/>
      </c>
      <c r="E35" s="15">
        <f>IFERROR(_Dados!AF25,"")</f>
        <v/>
      </c>
      <c r="F35" s="15">
        <f>IFERROR(_Dados!AG25,"")</f>
        <v/>
      </c>
      <c r="G35" s="15">
        <f>IF(_Dados!AD25="","",DAY(_Dados!AD25))</f>
        <v/>
      </c>
      <c r="H35" s="15">
        <f>IF(_Dados!AD25="","",MONTH(_Dados!AD25))</f>
        <v/>
      </c>
      <c r="I35" s="15">
        <f>IF(_Dados!AD25="","",YEAR(_Dados!AD25))</f>
        <v/>
      </c>
      <c r="J35" s="15">
        <f>IF(_Dados!AD25="","",WEEKNUM(_Dados!AD25))</f>
        <v/>
      </c>
    </row>
    <row r="36">
      <c r="B36" s="15">
        <f>IFERROR(_Dados!AC26,"")</f>
        <v/>
      </c>
      <c r="C36" s="38">
        <f>IFERROR(_Dados!AD26,"")</f>
        <v/>
      </c>
      <c r="D36" s="15">
        <f>IFERROR(_Dados!AE26,"")</f>
        <v/>
      </c>
      <c r="E36" s="15">
        <f>IFERROR(_Dados!AF26,"")</f>
        <v/>
      </c>
      <c r="F36" s="15">
        <f>IFERROR(_Dados!AG26,"")</f>
        <v/>
      </c>
      <c r="G36" s="15">
        <f>IF(_Dados!AD26="","",DAY(_Dados!AD26))</f>
        <v/>
      </c>
      <c r="H36" s="15">
        <f>IF(_Dados!AD26="","",MONTH(_Dados!AD26))</f>
        <v/>
      </c>
      <c r="I36" s="15">
        <f>IF(_Dados!AD26="","",YEAR(_Dados!AD26))</f>
        <v/>
      </c>
      <c r="J36" s="15">
        <f>IF(_Dados!AD26="","",WEEKNUM(_Dados!AD26))</f>
        <v/>
      </c>
    </row>
    <row r="37">
      <c r="B37" s="15">
        <f>IFERROR(_Dados!AC27,"")</f>
        <v/>
      </c>
      <c r="C37" s="38">
        <f>IFERROR(_Dados!AD27,"")</f>
        <v/>
      </c>
      <c r="D37" s="15">
        <f>IFERROR(_Dados!AE27,"")</f>
        <v/>
      </c>
      <c r="E37" s="15">
        <f>IFERROR(_Dados!AF27,"")</f>
        <v/>
      </c>
      <c r="F37" s="15">
        <f>IFERROR(_Dados!AG27,"")</f>
        <v/>
      </c>
      <c r="G37" s="15">
        <f>IF(_Dados!AD27="","",DAY(_Dados!AD27))</f>
        <v/>
      </c>
      <c r="H37" s="15">
        <f>IF(_Dados!AD27="","",MONTH(_Dados!AD27))</f>
        <v/>
      </c>
      <c r="I37" s="15">
        <f>IF(_Dados!AD27="","",YEAR(_Dados!AD27))</f>
        <v/>
      </c>
      <c r="J37" s="15">
        <f>IF(_Dados!AD27="","",WEEKNUM(_Dados!AD27))</f>
        <v/>
      </c>
    </row>
    <row r="38">
      <c r="B38" s="15">
        <f>IFERROR(_Dados!AC28,"")</f>
        <v/>
      </c>
      <c r="C38" s="38">
        <f>IFERROR(_Dados!AD28,"")</f>
        <v/>
      </c>
      <c r="D38" s="15">
        <f>IFERROR(_Dados!AE28,"")</f>
        <v/>
      </c>
      <c r="E38" s="15">
        <f>IFERROR(_Dados!AF28,"")</f>
        <v/>
      </c>
      <c r="F38" s="15">
        <f>IFERROR(_Dados!AG28,"")</f>
        <v/>
      </c>
      <c r="G38" s="15">
        <f>IF(_Dados!AD28="","",DAY(_Dados!AD28))</f>
        <v/>
      </c>
      <c r="H38" s="15">
        <f>IF(_Dados!AD28="","",MONTH(_Dados!AD28))</f>
        <v/>
      </c>
      <c r="I38" s="15">
        <f>IF(_Dados!AD28="","",YEAR(_Dados!AD28))</f>
        <v/>
      </c>
      <c r="J38" s="15">
        <f>IF(_Dados!AD28="","",WEEKNUM(_Dados!AD28))</f>
        <v/>
      </c>
    </row>
    <row r="39">
      <c r="B39" s="15">
        <f>IFERROR(_Dados!AC29,"")</f>
        <v/>
      </c>
      <c r="C39" s="38">
        <f>IFERROR(_Dados!AD29,"")</f>
        <v/>
      </c>
      <c r="D39" s="15">
        <f>IFERROR(_Dados!AE29,"")</f>
        <v/>
      </c>
      <c r="E39" s="15">
        <f>IFERROR(_Dados!AF29,"")</f>
        <v/>
      </c>
      <c r="F39" s="15">
        <f>IFERROR(_Dados!AG29,"")</f>
        <v/>
      </c>
      <c r="G39" s="15">
        <f>IF(_Dados!AD29="","",DAY(_Dados!AD29))</f>
        <v/>
      </c>
      <c r="H39" s="15">
        <f>IF(_Dados!AD29="","",MONTH(_Dados!AD29))</f>
        <v/>
      </c>
      <c r="I39" s="15">
        <f>IF(_Dados!AD29="","",YEAR(_Dados!AD29))</f>
        <v/>
      </c>
      <c r="J39" s="15">
        <f>IF(_Dados!AD29="","",WEEKNUM(_Dados!AD29))</f>
        <v/>
      </c>
    </row>
    <row r="40">
      <c r="B40" s="15">
        <f>IFERROR(_Dados!AC30,"")</f>
        <v/>
      </c>
      <c r="C40" s="38">
        <f>IFERROR(_Dados!AD30,"")</f>
        <v/>
      </c>
      <c r="D40" s="15">
        <f>IFERROR(_Dados!AE30,"")</f>
        <v/>
      </c>
      <c r="E40" s="15">
        <f>IFERROR(_Dados!AF30,"")</f>
        <v/>
      </c>
      <c r="F40" s="15">
        <f>IFERROR(_Dados!AG30,"")</f>
        <v/>
      </c>
      <c r="G40" s="15">
        <f>IF(_Dados!AD30="","",DAY(_Dados!AD30))</f>
        <v/>
      </c>
      <c r="H40" s="15">
        <f>IF(_Dados!AD30="","",MONTH(_Dados!AD30))</f>
        <v/>
      </c>
      <c r="I40" s="15">
        <f>IF(_Dados!AD30="","",YEAR(_Dados!AD30))</f>
        <v/>
      </c>
      <c r="J40" s="15">
        <f>IF(_Dados!AD30="","",WEEKNUM(_Dados!AD30))</f>
        <v/>
      </c>
    </row>
    <row r="41">
      <c r="B41" s="15">
        <f>IFERROR(_Dados!AC31,"")</f>
        <v/>
      </c>
      <c r="C41" s="38">
        <f>IFERROR(_Dados!AD31,"")</f>
        <v/>
      </c>
      <c r="D41" s="15">
        <f>IFERROR(_Dados!AE31,"")</f>
        <v/>
      </c>
      <c r="E41" s="15">
        <f>IFERROR(_Dados!AF31,"")</f>
        <v/>
      </c>
      <c r="F41" s="15">
        <f>IFERROR(_Dados!AG31,"")</f>
        <v/>
      </c>
      <c r="G41" s="15">
        <f>IF(_Dados!AD31="","",DAY(_Dados!AD31))</f>
        <v/>
      </c>
      <c r="H41" s="15">
        <f>IF(_Dados!AD31="","",MONTH(_Dados!AD31))</f>
        <v/>
      </c>
      <c r="I41" s="15">
        <f>IF(_Dados!AD31="","",YEAR(_Dados!AD31))</f>
        <v/>
      </c>
      <c r="J41" s="15">
        <f>IF(_Dados!AD31="","",WEEKNUM(_Dados!AD31))</f>
        <v/>
      </c>
    </row>
    <row r="42">
      <c r="B42" s="15">
        <f>IFERROR(_Dados!AC32,"")</f>
        <v/>
      </c>
      <c r="C42" s="38">
        <f>IFERROR(_Dados!AD32,"")</f>
        <v/>
      </c>
      <c r="D42" s="15">
        <f>IFERROR(_Dados!AE32,"")</f>
        <v/>
      </c>
      <c r="E42" s="15">
        <f>IFERROR(_Dados!AF32,"")</f>
        <v/>
      </c>
      <c r="F42" s="15">
        <f>IFERROR(_Dados!AG32,"")</f>
        <v/>
      </c>
      <c r="G42" s="15">
        <f>IF(_Dados!AD32="","",DAY(_Dados!AD32))</f>
        <v/>
      </c>
      <c r="H42" s="15">
        <f>IF(_Dados!AD32="","",MONTH(_Dados!AD32))</f>
        <v/>
      </c>
      <c r="I42" s="15">
        <f>IF(_Dados!AD32="","",YEAR(_Dados!AD32))</f>
        <v/>
      </c>
      <c r="J42" s="15">
        <f>IF(_Dados!AD32="","",WEEKNUM(_Dados!AD32))</f>
        <v/>
      </c>
    </row>
    <row r="43">
      <c r="B43" s="15">
        <f>IFERROR(_Dados!AC33,"")</f>
        <v/>
      </c>
      <c r="C43" s="38">
        <f>IFERROR(_Dados!AD33,"")</f>
        <v/>
      </c>
      <c r="D43" s="15">
        <f>IFERROR(_Dados!AE33,"")</f>
        <v/>
      </c>
      <c r="E43" s="15">
        <f>IFERROR(_Dados!AF33,"")</f>
        <v/>
      </c>
      <c r="F43" s="15">
        <f>IFERROR(_Dados!AG33,"")</f>
        <v/>
      </c>
      <c r="G43" s="15">
        <f>IF(_Dados!AD33="","",DAY(_Dados!AD33))</f>
        <v/>
      </c>
      <c r="H43" s="15">
        <f>IF(_Dados!AD33="","",MONTH(_Dados!AD33))</f>
        <v/>
      </c>
      <c r="I43" s="15">
        <f>IF(_Dados!AD33="","",YEAR(_Dados!AD33))</f>
        <v/>
      </c>
      <c r="J43" s="15">
        <f>IF(_Dados!AD33="","",WEEKNUM(_Dados!AD33))</f>
        <v/>
      </c>
    </row>
    <row r="44">
      <c r="B44" s="15">
        <f>IFERROR(_Dados!AC34,"")</f>
        <v/>
      </c>
      <c r="C44" s="38">
        <f>IFERROR(_Dados!AD34,"")</f>
        <v/>
      </c>
      <c r="D44" s="15">
        <f>IFERROR(_Dados!AE34,"")</f>
        <v/>
      </c>
      <c r="E44" s="15">
        <f>IFERROR(_Dados!AF34,"")</f>
        <v/>
      </c>
      <c r="F44" s="15">
        <f>IFERROR(_Dados!AG34,"")</f>
        <v/>
      </c>
      <c r="G44" s="15">
        <f>IF(_Dados!AD34="","",DAY(_Dados!AD34))</f>
        <v/>
      </c>
      <c r="H44" s="15">
        <f>IF(_Dados!AD34="","",MONTH(_Dados!AD34))</f>
        <v/>
      </c>
      <c r="I44" s="15">
        <f>IF(_Dados!AD34="","",YEAR(_Dados!AD34))</f>
        <v/>
      </c>
      <c r="J44" s="15">
        <f>IF(_Dados!AD34="","",WEEKNUM(_Dados!AD34))</f>
        <v/>
      </c>
    </row>
    <row r="45">
      <c r="B45" s="15">
        <f>IFERROR(_Dados!AC35,"")</f>
        <v/>
      </c>
      <c r="C45" s="38">
        <f>IFERROR(_Dados!AD35,"")</f>
        <v/>
      </c>
      <c r="D45" s="15">
        <f>IFERROR(_Dados!AE35,"")</f>
        <v/>
      </c>
      <c r="E45" s="15">
        <f>IFERROR(_Dados!AF35,"")</f>
        <v/>
      </c>
      <c r="F45" s="15">
        <f>IFERROR(_Dados!AG35,"")</f>
        <v/>
      </c>
      <c r="G45" s="15">
        <f>IF(_Dados!AD35="","",DAY(_Dados!AD35))</f>
        <v/>
      </c>
      <c r="H45" s="15">
        <f>IF(_Dados!AD35="","",MONTH(_Dados!AD35))</f>
        <v/>
      </c>
      <c r="I45" s="15">
        <f>IF(_Dados!AD35="","",YEAR(_Dados!AD35))</f>
        <v/>
      </c>
      <c r="J45" s="15">
        <f>IF(_Dados!AD35="","",WEEKNUM(_Dados!AD35))</f>
        <v/>
      </c>
    </row>
    <row r="46">
      <c r="B46" s="15">
        <f>IFERROR(_Dados!AC36,"")</f>
        <v/>
      </c>
      <c r="C46" s="38">
        <f>IFERROR(_Dados!AD36,"")</f>
        <v/>
      </c>
      <c r="D46" s="15">
        <f>IFERROR(_Dados!AE36,"")</f>
        <v/>
      </c>
      <c r="E46" s="15">
        <f>IFERROR(_Dados!AF36,"")</f>
        <v/>
      </c>
      <c r="F46" s="15">
        <f>IFERROR(_Dados!AG36,"")</f>
        <v/>
      </c>
      <c r="G46" s="15">
        <f>IF(_Dados!AD36="","",DAY(_Dados!AD36))</f>
        <v/>
      </c>
      <c r="H46" s="15">
        <f>IF(_Dados!AD36="","",MONTH(_Dados!AD36))</f>
        <v/>
      </c>
      <c r="I46" s="15">
        <f>IF(_Dados!AD36="","",YEAR(_Dados!AD36))</f>
        <v/>
      </c>
      <c r="J46" s="15">
        <f>IF(_Dados!AD36="","",WEEKNUM(_Dados!AD36))</f>
        <v/>
      </c>
    </row>
    <row r="47">
      <c r="B47" s="15">
        <f>IFERROR(_Dados!AC37,"")</f>
        <v/>
      </c>
      <c r="C47" s="38">
        <f>IFERROR(_Dados!AD37,"")</f>
        <v/>
      </c>
      <c r="D47" s="15">
        <f>IFERROR(_Dados!AE37,"")</f>
        <v/>
      </c>
      <c r="E47" s="15">
        <f>IFERROR(_Dados!AF37,"")</f>
        <v/>
      </c>
      <c r="F47" s="15">
        <f>IFERROR(_Dados!AG37,"")</f>
        <v/>
      </c>
      <c r="G47" s="15">
        <f>IF(_Dados!AD37="","",DAY(_Dados!AD37))</f>
        <v/>
      </c>
      <c r="H47" s="15">
        <f>IF(_Dados!AD37="","",MONTH(_Dados!AD37))</f>
        <v/>
      </c>
      <c r="I47" s="15">
        <f>IF(_Dados!AD37="","",YEAR(_Dados!AD37))</f>
        <v/>
      </c>
      <c r="J47" s="15">
        <f>IF(_Dados!AD37="","",WEEKNUM(_Dados!AD37))</f>
        <v/>
      </c>
    </row>
    <row r="48">
      <c r="B48" s="15">
        <f>IFERROR(_Dados!AC38,"")</f>
        <v/>
      </c>
      <c r="C48" s="38">
        <f>IFERROR(_Dados!AD38,"")</f>
        <v/>
      </c>
      <c r="D48" s="15">
        <f>IFERROR(_Dados!AE38,"")</f>
        <v/>
      </c>
      <c r="E48" s="15">
        <f>IFERROR(_Dados!AF38,"")</f>
        <v/>
      </c>
      <c r="F48" s="15">
        <f>IFERROR(_Dados!AG38,"")</f>
        <v/>
      </c>
      <c r="G48" s="15">
        <f>IF(_Dados!AD38="","",DAY(_Dados!AD38))</f>
        <v/>
      </c>
      <c r="H48" s="15">
        <f>IF(_Dados!AD38="","",MONTH(_Dados!AD38))</f>
        <v/>
      </c>
      <c r="I48" s="15">
        <f>IF(_Dados!AD38="","",YEAR(_Dados!AD38))</f>
        <v/>
      </c>
      <c r="J48" s="15">
        <f>IF(_Dados!AD38="","",WEEKNUM(_Dados!AD38))</f>
        <v/>
      </c>
    </row>
    <row r="49">
      <c r="B49" s="15">
        <f>IFERROR(_Dados!AC39,"")</f>
        <v/>
      </c>
      <c r="C49" s="38">
        <f>IFERROR(_Dados!AD39,"")</f>
        <v/>
      </c>
      <c r="D49" s="15">
        <f>IFERROR(_Dados!AE39,"")</f>
        <v/>
      </c>
      <c r="E49" s="15">
        <f>IFERROR(_Dados!AF39,"")</f>
        <v/>
      </c>
      <c r="F49" s="15">
        <f>IFERROR(_Dados!AG39,"")</f>
        <v/>
      </c>
      <c r="G49" s="15">
        <f>IF(_Dados!AD39="","",DAY(_Dados!AD39))</f>
        <v/>
      </c>
      <c r="H49" s="15">
        <f>IF(_Dados!AD39="","",MONTH(_Dados!AD39))</f>
        <v/>
      </c>
      <c r="I49" s="15">
        <f>IF(_Dados!AD39="","",YEAR(_Dados!AD39))</f>
        <v/>
      </c>
      <c r="J49" s="15">
        <f>IF(_Dados!AD39="","",WEEKNUM(_Dados!AD39))</f>
        <v/>
      </c>
    </row>
    <row r="50">
      <c r="B50" s="15">
        <f>IFERROR(_Dados!AC40,"")</f>
        <v/>
      </c>
      <c r="C50" s="38">
        <f>IFERROR(_Dados!AD40,"")</f>
        <v/>
      </c>
      <c r="D50" s="15">
        <f>IFERROR(_Dados!AE40,"")</f>
        <v/>
      </c>
      <c r="E50" s="15">
        <f>IFERROR(_Dados!AF40,"")</f>
        <v/>
      </c>
      <c r="F50" s="15">
        <f>IFERROR(_Dados!AG40,"")</f>
        <v/>
      </c>
      <c r="G50" s="15">
        <f>IF(_Dados!AD40="","",DAY(_Dados!AD40))</f>
        <v/>
      </c>
      <c r="H50" s="15">
        <f>IF(_Dados!AD40="","",MONTH(_Dados!AD40))</f>
        <v/>
      </c>
      <c r="I50" s="15">
        <f>IF(_Dados!AD40="","",YEAR(_Dados!AD40))</f>
        <v/>
      </c>
      <c r="J50" s="15">
        <f>IF(_Dados!AD40="","",WEEKNUM(_Dados!AD40))</f>
        <v/>
      </c>
    </row>
    <row r="51">
      <c r="B51" s="15">
        <f>IFERROR(_Dados!AC41,"")</f>
        <v/>
      </c>
      <c r="C51" s="38">
        <f>IFERROR(_Dados!AD41,"")</f>
        <v/>
      </c>
      <c r="D51" s="15">
        <f>IFERROR(_Dados!AE41,"")</f>
        <v/>
      </c>
      <c r="E51" s="15">
        <f>IFERROR(_Dados!AF41,"")</f>
        <v/>
      </c>
      <c r="F51" s="15">
        <f>IFERROR(_Dados!AG41,"")</f>
        <v/>
      </c>
      <c r="G51" s="15">
        <f>IF(_Dados!AD41="","",DAY(_Dados!AD41))</f>
        <v/>
      </c>
      <c r="H51" s="15">
        <f>IF(_Dados!AD41="","",MONTH(_Dados!AD41))</f>
        <v/>
      </c>
      <c r="I51" s="15">
        <f>IF(_Dados!AD41="","",YEAR(_Dados!AD41))</f>
        <v/>
      </c>
      <c r="J51" s="15">
        <f>IF(_Dados!AD41="","",WEEKNUM(_Dados!AD41))</f>
        <v/>
      </c>
    </row>
    <row r="52">
      <c r="B52" s="15">
        <f>IFERROR(_Dados!AC42,"")</f>
        <v/>
      </c>
      <c r="C52" s="38">
        <f>IFERROR(_Dados!AD42,"")</f>
        <v/>
      </c>
      <c r="D52" s="15">
        <f>IFERROR(_Dados!AE42,"")</f>
        <v/>
      </c>
      <c r="E52" s="15">
        <f>IFERROR(_Dados!AF42,"")</f>
        <v/>
      </c>
      <c r="F52" s="15">
        <f>IFERROR(_Dados!AG42,"")</f>
        <v/>
      </c>
      <c r="G52" s="15">
        <f>IF(_Dados!AD42="","",DAY(_Dados!AD42))</f>
        <v/>
      </c>
      <c r="H52" s="15">
        <f>IF(_Dados!AD42="","",MONTH(_Dados!AD42))</f>
        <v/>
      </c>
      <c r="I52" s="15">
        <f>IF(_Dados!AD42="","",YEAR(_Dados!AD42))</f>
        <v/>
      </c>
      <c r="J52" s="15">
        <f>IF(_Dados!AD42="","",WEEKNUM(_Dados!AD42))</f>
        <v/>
      </c>
    </row>
    <row r="53">
      <c r="B53" s="15">
        <f>IFERROR(_Dados!AC43,"")</f>
        <v/>
      </c>
      <c r="C53" s="38">
        <f>IFERROR(_Dados!AD43,"")</f>
        <v/>
      </c>
      <c r="D53" s="15">
        <f>IFERROR(_Dados!AE43,"")</f>
        <v/>
      </c>
      <c r="E53" s="15">
        <f>IFERROR(_Dados!AF43,"")</f>
        <v/>
      </c>
      <c r="F53" s="15">
        <f>IFERROR(_Dados!AG43,"")</f>
        <v/>
      </c>
      <c r="G53" s="15">
        <f>IF(_Dados!AD43="","",DAY(_Dados!AD43))</f>
        <v/>
      </c>
      <c r="H53" s="15">
        <f>IF(_Dados!AD43="","",MONTH(_Dados!AD43))</f>
        <v/>
      </c>
      <c r="I53" s="15">
        <f>IF(_Dados!AD43="","",YEAR(_Dados!AD43))</f>
        <v/>
      </c>
      <c r="J53" s="15">
        <f>IF(_Dados!AD43="","",WEEKNUM(_Dados!AD43))</f>
        <v/>
      </c>
    </row>
    <row r="54">
      <c r="B54" s="15">
        <f>IFERROR(_Dados!AC44,"")</f>
        <v/>
      </c>
      <c r="C54" s="38">
        <f>IFERROR(_Dados!AD44,"")</f>
        <v/>
      </c>
      <c r="D54" s="15">
        <f>IFERROR(_Dados!AE44,"")</f>
        <v/>
      </c>
      <c r="E54" s="15">
        <f>IFERROR(_Dados!AF44,"")</f>
        <v/>
      </c>
      <c r="F54" s="15">
        <f>IFERROR(_Dados!AG44,"")</f>
        <v/>
      </c>
      <c r="G54" s="15">
        <f>IF(_Dados!AD44="","",DAY(_Dados!AD44))</f>
        <v/>
      </c>
      <c r="H54" s="15">
        <f>IF(_Dados!AD44="","",MONTH(_Dados!AD44))</f>
        <v/>
      </c>
      <c r="I54" s="15">
        <f>IF(_Dados!AD44="","",YEAR(_Dados!AD44))</f>
        <v/>
      </c>
      <c r="J54" s="15">
        <f>IF(_Dados!AD44="","",WEEKNUM(_Dados!AD44))</f>
        <v/>
      </c>
    </row>
    <row r="55">
      <c r="B55" s="15">
        <f>IFERROR(_Dados!AC45,"")</f>
        <v/>
      </c>
      <c r="C55" s="38">
        <f>IFERROR(_Dados!AD45,"")</f>
        <v/>
      </c>
      <c r="D55" s="15">
        <f>IFERROR(_Dados!AE45,"")</f>
        <v/>
      </c>
      <c r="E55" s="15">
        <f>IFERROR(_Dados!AF45,"")</f>
        <v/>
      </c>
      <c r="F55" s="15">
        <f>IFERROR(_Dados!AG45,"")</f>
        <v/>
      </c>
      <c r="G55" s="15">
        <f>IF(_Dados!AD45="","",DAY(_Dados!AD45))</f>
        <v/>
      </c>
      <c r="H55" s="15">
        <f>IF(_Dados!AD45="","",MONTH(_Dados!AD45))</f>
        <v/>
      </c>
      <c r="I55" s="15">
        <f>IF(_Dados!AD45="","",YEAR(_Dados!AD45))</f>
        <v/>
      </c>
      <c r="J55" s="15">
        <f>IF(_Dados!AD45="","",WEEKNUM(_Dados!AD45))</f>
        <v/>
      </c>
    </row>
    <row r="56">
      <c r="B56" s="15">
        <f>IFERROR(_Dados!AC46,"")</f>
        <v/>
      </c>
      <c r="C56" s="38">
        <f>IFERROR(_Dados!AD46,"")</f>
        <v/>
      </c>
      <c r="D56" s="15">
        <f>IFERROR(_Dados!AE46,"")</f>
        <v/>
      </c>
      <c r="E56" s="15">
        <f>IFERROR(_Dados!AF46,"")</f>
        <v/>
      </c>
      <c r="F56" s="15">
        <f>IFERROR(_Dados!AG46,"")</f>
        <v/>
      </c>
      <c r="G56" s="15">
        <f>IF(_Dados!AD46="","",DAY(_Dados!AD46))</f>
        <v/>
      </c>
      <c r="H56" s="15">
        <f>IF(_Dados!AD46="","",MONTH(_Dados!AD46))</f>
        <v/>
      </c>
      <c r="I56" s="15">
        <f>IF(_Dados!AD46="","",YEAR(_Dados!AD46))</f>
        <v/>
      </c>
      <c r="J56" s="15">
        <f>IF(_Dados!AD46="","",WEEKNUM(_Dados!AD46))</f>
        <v/>
      </c>
    </row>
    <row r="57">
      <c r="B57" s="15">
        <f>IFERROR(_Dados!AC47,"")</f>
        <v/>
      </c>
      <c r="C57" s="38">
        <f>IFERROR(_Dados!AD47,"")</f>
        <v/>
      </c>
      <c r="D57" s="15">
        <f>IFERROR(_Dados!AE47,"")</f>
        <v/>
      </c>
      <c r="E57" s="15">
        <f>IFERROR(_Dados!AF47,"")</f>
        <v/>
      </c>
      <c r="F57" s="15">
        <f>IFERROR(_Dados!AG47,"")</f>
        <v/>
      </c>
      <c r="G57" s="15">
        <f>IF(_Dados!AD47="","",DAY(_Dados!AD47))</f>
        <v/>
      </c>
      <c r="H57" s="15">
        <f>IF(_Dados!AD47="","",MONTH(_Dados!AD47))</f>
        <v/>
      </c>
      <c r="I57" s="15">
        <f>IF(_Dados!AD47="","",YEAR(_Dados!AD47))</f>
        <v/>
      </c>
      <c r="J57" s="15">
        <f>IF(_Dados!AD47="","",WEEKNUM(_Dados!AD47))</f>
        <v/>
      </c>
    </row>
    <row r="58">
      <c r="B58" s="15">
        <f>IFERROR(_Dados!AC48,"")</f>
        <v/>
      </c>
      <c r="C58" s="38">
        <f>IFERROR(_Dados!AD48,"")</f>
        <v/>
      </c>
      <c r="D58" s="15">
        <f>IFERROR(_Dados!AE48,"")</f>
        <v/>
      </c>
      <c r="E58" s="15">
        <f>IFERROR(_Dados!AF48,"")</f>
        <v/>
      </c>
      <c r="F58" s="15">
        <f>IFERROR(_Dados!AG48,"")</f>
        <v/>
      </c>
      <c r="G58" s="15">
        <f>IF(_Dados!AD48="","",DAY(_Dados!AD48))</f>
        <v/>
      </c>
      <c r="H58" s="15">
        <f>IF(_Dados!AD48="","",MONTH(_Dados!AD48))</f>
        <v/>
      </c>
      <c r="I58" s="15">
        <f>IF(_Dados!AD48="","",YEAR(_Dados!AD48))</f>
        <v/>
      </c>
      <c r="J58" s="15">
        <f>IF(_Dados!AD48="","",WEEKNUM(_Dados!AD48))</f>
        <v/>
      </c>
    </row>
    <row r="59">
      <c r="B59" s="15">
        <f>IFERROR(_Dados!AC49,"")</f>
        <v/>
      </c>
      <c r="C59" s="38">
        <f>IFERROR(_Dados!AD49,"")</f>
        <v/>
      </c>
      <c r="D59" s="15">
        <f>IFERROR(_Dados!AE49,"")</f>
        <v/>
      </c>
      <c r="E59" s="15">
        <f>IFERROR(_Dados!AF49,"")</f>
        <v/>
      </c>
      <c r="F59" s="15">
        <f>IFERROR(_Dados!AG49,"")</f>
        <v/>
      </c>
      <c r="G59" s="15">
        <f>IF(_Dados!AD49="","",DAY(_Dados!AD49))</f>
        <v/>
      </c>
      <c r="H59" s="15">
        <f>IF(_Dados!AD49="","",MONTH(_Dados!AD49))</f>
        <v/>
      </c>
      <c r="I59" s="15">
        <f>IF(_Dados!AD49="","",YEAR(_Dados!AD49))</f>
        <v/>
      </c>
      <c r="J59" s="15">
        <f>IF(_Dados!AD49="","",WEEKNUM(_Dados!AD49))</f>
        <v/>
      </c>
    </row>
    <row r="60">
      <c r="B60" s="15">
        <f>IFERROR(_Dados!AC50,"")</f>
        <v/>
      </c>
      <c r="C60" s="38">
        <f>IFERROR(_Dados!AD50,"")</f>
        <v/>
      </c>
      <c r="D60" s="15">
        <f>IFERROR(_Dados!AE50,"")</f>
        <v/>
      </c>
      <c r="E60" s="15">
        <f>IFERROR(_Dados!AF50,"")</f>
        <v/>
      </c>
      <c r="F60" s="15">
        <f>IFERROR(_Dados!AG50,"")</f>
        <v/>
      </c>
      <c r="G60" s="15">
        <f>IF(_Dados!AD50="","",DAY(_Dados!AD50))</f>
        <v/>
      </c>
      <c r="H60" s="15">
        <f>IF(_Dados!AD50="","",MONTH(_Dados!AD50))</f>
        <v/>
      </c>
      <c r="I60" s="15">
        <f>IF(_Dados!AD50="","",YEAR(_Dados!AD50))</f>
        <v/>
      </c>
      <c r="J60" s="15">
        <f>IF(_Dados!AD50="","",WEEKNUM(_Dados!AD50))</f>
        <v/>
      </c>
    </row>
    <row r="61">
      <c r="B61" s="15">
        <f>IFERROR(_Dados!AC51,"")</f>
        <v/>
      </c>
      <c r="C61" s="38">
        <f>IFERROR(_Dados!AD51,"")</f>
        <v/>
      </c>
      <c r="D61" s="15">
        <f>IFERROR(_Dados!AE51,"")</f>
        <v/>
      </c>
      <c r="E61" s="15">
        <f>IFERROR(_Dados!AF51,"")</f>
        <v/>
      </c>
      <c r="F61" s="15">
        <f>IFERROR(_Dados!AG51,"")</f>
        <v/>
      </c>
      <c r="G61" s="15">
        <f>IF(_Dados!AD51="","",DAY(_Dados!AD51))</f>
        <v/>
      </c>
      <c r="H61" s="15">
        <f>IF(_Dados!AD51="","",MONTH(_Dados!AD51))</f>
        <v/>
      </c>
      <c r="I61" s="15">
        <f>IF(_Dados!AD51="","",YEAR(_Dados!AD51))</f>
        <v/>
      </c>
      <c r="J61" s="15">
        <f>IF(_Dados!AD51="","",WEEKNUM(_Dados!AD51))</f>
        <v/>
      </c>
    </row>
    <row r="62">
      <c r="B62" s="15">
        <f>IFERROR(_Dados!AC52,"")</f>
        <v/>
      </c>
      <c r="C62" s="38">
        <f>IFERROR(_Dados!AD52,"")</f>
        <v/>
      </c>
      <c r="D62" s="15">
        <f>IFERROR(_Dados!AE52,"")</f>
        <v/>
      </c>
      <c r="E62" s="15">
        <f>IFERROR(_Dados!AF52,"")</f>
        <v/>
      </c>
      <c r="F62" s="15">
        <f>IFERROR(_Dados!AG52,"")</f>
        <v/>
      </c>
      <c r="G62" s="15">
        <f>IF(_Dados!AD52="","",DAY(_Dados!AD52))</f>
        <v/>
      </c>
      <c r="H62" s="15">
        <f>IF(_Dados!AD52="","",MONTH(_Dados!AD52))</f>
        <v/>
      </c>
      <c r="I62" s="15">
        <f>IF(_Dados!AD52="","",YEAR(_Dados!AD52))</f>
        <v/>
      </c>
      <c r="J62" s="15">
        <f>IF(_Dados!AD52="","",WEEKNUM(_Dados!AD52))</f>
        <v/>
      </c>
    </row>
    <row r="63">
      <c r="B63" s="15">
        <f>IFERROR(_Dados!AC53,"")</f>
        <v/>
      </c>
      <c r="C63" s="38">
        <f>IFERROR(_Dados!AD53,"")</f>
        <v/>
      </c>
      <c r="D63" s="15">
        <f>IFERROR(_Dados!AE53,"")</f>
        <v/>
      </c>
      <c r="E63" s="15">
        <f>IFERROR(_Dados!AF53,"")</f>
        <v/>
      </c>
      <c r="F63" s="15">
        <f>IFERROR(_Dados!AG53,"")</f>
        <v/>
      </c>
      <c r="G63" s="15">
        <f>IF(_Dados!AD53="","",DAY(_Dados!AD53))</f>
        <v/>
      </c>
      <c r="H63" s="15">
        <f>IF(_Dados!AD53="","",MONTH(_Dados!AD53))</f>
        <v/>
      </c>
      <c r="I63" s="15">
        <f>IF(_Dados!AD53="","",YEAR(_Dados!AD53))</f>
        <v/>
      </c>
      <c r="J63" s="15">
        <f>IF(_Dados!AD53="","",WEEKNUM(_Dados!AD53))</f>
        <v/>
      </c>
    </row>
    <row r="64">
      <c r="B64" s="15">
        <f>IFERROR(_Dados!AC54,"")</f>
        <v/>
      </c>
      <c r="C64" s="38">
        <f>IFERROR(_Dados!AD54,"")</f>
        <v/>
      </c>
      <c r="D64" s="15">
        <f>IFERROR(_Dados!AE54,"")</f>
        <v/>
      </c>
      <c r="E64" s="15">
        <f>IFERROR(_Dados!AF54,"")</f>
        <v/>
      </c>
      <c r="F64" s="15">
        <f>IFERROR(_Dados!AG54,"")</f>
        <v/>
      </c>
      <c r="G64" s="15">
        <f>IF(_Dados!AD54="","",DAY(_Dados!AD54))</f>
        <v/>
      </c>
      <c r="H64" s="15">
        <f>IF(_Dados!AD54="","",MONTH(_Dados!AD54))</f>
        <v/>
      </c>
      <c r="I64" s="15">
        <f>IF(_Dados!AD54="","",YEAR(_Dados!AD54))</f>
        <v/>
      </c>
      <c r="J64" s="15">
        <f>IF(_Dados!AD54="","",WEEKNUM(_Dados!AD54))</f>
        <v/>
      </c>
    </row>
    <row r="65">
      <c r="B65" s="15">
        <f>IFERROR(_Dados!AC55,"")</f>
        <v/>
      </c>
      <c r="C65" s="38">
        <f>IFERROR(_Dados!AD55,"")</f>
        <v/>
      </c>
      <c r="D65" s="15">
        <f>IFERROR(_Dados!AE55,"")</f>
        <v/>
      </c>
      <c r="E65" s="15">
        <f>IFERROR(_Dados!AF55,"")</f>
        <v/>
      </c>
      <c r="F65" s="15">
        <f>IFERROR(_Dados!AG55,"")</f>
        <v/>
      </c>
      <c r="G65" s="15">
        <f>IF(_Dados!AD55="","",DAY(_Dados!AD55))</f>
        <v/>
      </c>
      <c r="H65" s="15">
        <f>IF(_Dados!AD55="","",MONTH(_Dados!AD55))</f>
        <v/>
      </c>
      <c r="I65" s="15">
        <f>IF(_Dados!AD55="","",YEAR(_Dados!AD55))</f>
        <v/>
      </c>
      <c r="J65" s="15">
        <f>IF(_Dados!AD55="","",WEEKNUM(_Dados!AD55))</f>
        <v/>
      </c>
    </row>
    <row r="66">
      <c r="B66" s="15">
        <f>IFERROR(_Dados!AC56,"")</f>
        <v/>
      </c>
      <c r="C66" s="38">
        <f>IFERROR(_Dados!AD56,"")</f>
        <v/>
      </c>
      <c r="D66" s="15">
        <f>IFERROR(_Dados!AE56,"")</f>
        <v/>
      </c>
      <c r="E66" s="15">
        <f>IFERROR(_Dados!AF56,"")</f>
        <v/>
      </c>
      <c r="F66" s="15">
        <f>IFERROR(_Dados!AG56,"")</f>
        <v/>
      </c>
      <c r="G66" s="15">
        <f>IF(_Dados!AD56="","",DAY(_Dados!AD56))</f>
        <v/>
      </c>
      <c r="H66" s="15">
        <f>IF(_Dados!AD56="","",MONTH(_Dados!AD56))</f>
        <v/>
      </c>
      <c r="I66" s="15">
        <f>IF(_Dados!AD56="","",YEAR(_Dados!AD56))</f>
        <v/>
      </c>
      <c r="J66" s="15">
        <f>IF(_Dados!AD56="","",WEEKNUM(_Dados!AD56))</f>
        <v/>
      </c>
    </row>
    <row r="67">
      <c r="B67" s="15">
        <f>IFERROR(_Dados!AC57,"")</f>
        <v/>
      </c>
      <c r="C67" s="38">
        <f>IFERROR(_Dados!AD57,"")</f>
        <v/>
      </c>
      <c r="D67" s="15">
        <f>IFERROR(_Dados!AE57,"")</f>
        <v/>
      </c>
      <c r="E67" s="15">
        <f>IFERROR(_Dados!AF57,"")</f>
        <v/>
      </c>
      <c r="F67" s="15">
        <f>IFERROR(_Dados!AG57,"")</f>
        <v/>
      </c>
      <c r="G67" s="15">
        <f>IF(_Dados!AD57="","",DAY(_Dados!AD57))</f>
        <v/>
      </c>
      <c r="H67" s="15">
        <f>IF(_Dados!AD57="","",MONTH(_Dados!AD57))</f>
        <v/>
      </c>
      <c r="I67" s="15">
        <f>IF(_Dados!AD57="","",YEAR(_Dados!AD57))</f>
        <v/>
      </c>
      <c r="J67" s="15">
        <f>IF(_Dados!AD57="","",WEEKNUM(_Dados!AD57))</f>
        <v/>
      </c>
    </row>
    <row r="68">
      <c r="B68" s="15">
        <f>IFERROR(_Dados!AC58,"")</f>
        <v/>
      </c>
      <c r="C68" s="38">
        <f>IFERROR(_Dados!AD58,"")</f>
        <v/>
      </c>
      <c r="D68" s="15">
        <f>IFERROR(_Dados!AE58,"")</f>
        <v/>
      </c>
      <c r="E68" s="15">
        <f>IFERROR(_Dados!AF58,"")</f>
        <v/>
      </c>
      <c r="F68" s="15">
        <f>IFERROR(_Dados!AG58,"")</f>
        <v/>
      </c>
      <c r="G68" s="15">
        <f>IF(_Dados!AD58="","",DAY(_Dados!AD58))</f>
        <v/>
      </c>
      <c r="H68" s="15">
        <f>IF(_Dados!AD58="","",MONTH(_Dados!AD58))</f>
        <v/>
      </c>
      <c r="I68" s="15">
        <f>IF(_Dados!AD58="","",YEAR(_Dados!AD58))</f>
        <v/>
      </c>
      <c r="J68" s="15">
        <f>IF(_Dados!AD58="","",WEEKNUM(_Dados!AD58))</f>
        <v/>
      </c>
    </row>
    <row r="69">
      <c r="B69" s="15">
        <f>IFERROR(_Dados!AC59,"")</f>
        <v/>
      </c>
      <c r="C69" s="38">
        <f>IFERROR(_Dados!AD59,"")</f>
        <v/>
      </c>
      <c r="D69" s="15">
        <f>IFERROR(_Dados!AE59,"")</f>
        <v/>
      </c>
      <c r="E69" s="15">
        <f>IFERROR(_Dados!AF59,"")</f>
        <v/>
      </c>
      <c r="F69" s="15">
        <f>IFERROR(_Dados!AG59,"")</f>
        <v/>
      </c>
      <c r="G69" s="15">
        <f>IF(_Dados!AD59="","",DAY(_Dados!AD59))</f>
        <v/>
      </c>
      <c r="H69" s="15">
        <f>IF(_Dados!AD59="","",MONTH(_Dados!AD59))</f>
        <v/>
      </c>
      <c r="I69" s="15">
        <f>IF(_Dados!AD59="","",YEAR(_Dados!AD59))</f>
        <v/>
      </c>
      <c r="J69" s="15">
        <f>IF(_Dados!AD59="","",WEEKNUM(_Dados!AD59))</f>
        <v/>
      </c>
    </row>
    <row r="70">
      <c r="B70" s="15">
        <f>IFERROR(_Dados!AC60,"")</f>
        <v/>
      </c>
      <c r="C70" s="38">
        <f>IFERROR(_Dados!AD60,"")</f>
        <v/>
      </c>
      <c r="D70" s="15">
        <f>IFERROR(_Dados!AE60,"")</f>
        <v/>
      </c>
      <c r="E70" s="15">
        <f>IFERROR(_Dados!AF60,"")</f>
        <v/>
      </c>
      <c r="F70" s="15">
        <f>IFERROR(_Dados!AG60,"")</f>
        <v/>
      </c>
      <c r="G70" s="15">
        <f>IF(_Dados!AD60="","",DAY(_Dados!AD60))</f>
        <v/>
      </c>
      <c r="H70" s="15">
        <f>IF(_Dados!AD60="","",MONTH(_Dados!AD60))</f>
        <v/>
      </c>
      <c r="I70" s="15">
        <f>IF(_Dados!AD60="","",YEAR(_Dados!AD60))</f>
        <v/>
      </c>
      <c r="J70" s="15">
        <f>IF(_Dados!AD60="","",WEEKNUM(_Dados!AD60))</f>
        <v/>
      </c>
    </row>
    <row r="71">
      <c r="B71" s="15">
        <f>IFERROR(_Dados!AC61,"")</f>
        <v/>
      </c>
      <c r="C71" s="38">
        <f>IFERROR(_Dados!AD61,"")</f>
        <v/>
      </c>
      <c r="D71" s="15">
        <f>IFERROR(_Dados!AE61,"")</f>
        <v/>
      </c>
      <c r="E71" s="15">
        <f>IFERROR(_Dados!AF61,"")</f>
        <v/>
      </c>
      <c r="F71" s="15">
        <f>IFERROR(_Dados!AG61,"")</f>
        <v/>
      </c>
      <c r="G71" s="15">
        <f>IF(_Dados!AD61="","",DAY(_Dados!AD61))</f>
        <v/>
      </c>
      <c r="H71" s="15">
        <f>IF(_Dados!AD61="","",MONTH(_Dados!AD61))</f>
        <v/>
      </c>
      <c r="I71" s="15">
        <f>IF(_Dados!AD61="","",YEAR(_Dados!AD61))</f>
        <v/>
      </c>
      <c r="J71" s="15">
        <f>IF(_Dados!AD61="","",WEEKNUM(_Dados!AD61))</f>
        <v/>
      </c>
    </row>
    <row r="72">
      <c r="B72" s="15">
        <f>IFERROR(_Dados!AC62,"")</f>
        <v/>
      </c>
      <c r="C72" s="38">
        <f>IFERROR(_Dados!AD62,"")</f>
        <v/>
      </c>
      <c r="D72" s="15">
        <f>IFERROR(_Dados!AE62,"")</f>
        <v/>
      </c>
      <c r="E72" s="15">
        <f>IFERROR(_Dados!AF62,"")</f>
        <v/>
      </c>
      <c r="F72" s="15">
        <f>IFERROR(_Dados!AG62,"")</f>
        <v/>
      </c>
      <c r="G72" s="15">
        <f>IF(_Dados!AD62="","",DAY(_Dados!AD62))</f>
        <v/>
      </c>
      <c r="H72" s="15">
        <f>IF(_Dados!AD62="","",MONTH(_Dados!AD62))</f>
        <v/>
      </c>
      <c r="I72" s="15">
        <f>IF(_Dados!AD62="","",YEAR(_Dados!AD62))</f>
        <v/>
      </c>
      <c r="J72" s="15">
        <f>IF(_Dados!AD62="","",WEEKNUM(_Dados!AD62))</f>
        <v/>
      </c>
    </row>
    <row r="73">
      <c r="B73" s="15">
        <f>IFERROR(_Dados!AC63,"")</f>
        <v/>
      </c>
      <c r="C73" s="38">
        <f>IFERROR(_Dados!AD63,"")</f>
        <v/>
      </c>
      <c r="D73" s="15">
        <f>IFERROR(_Dados!AE63,"")</f>
        <v/>
      </c>
      <c r="E73" s="15">
        <f>IFERROR(_Dados!AF63,"")</f>
        <v/>
      </c>
      <c r="F73" s="15">
        <f>IFERROR(_Dados!AG63,"")</f>
        <v/>
      </c>
      <c r="G73" s="15">
        <f>IF(_Dados!AD63="","",DAY(_Dados!AD63))</f>
        <v/>
      </c>
      <c r="H73" s="15">
        <f>IF(_Dados!AD63="","",MONTH(_Dados!AD63))</f>
        <v/>
      </c>
      <c r="I73" s="15">
        <f>IF(_Dados!AD63="","",YEAR(_Dados!AD63))</f>
        <v/>
      </c>
      <c r="J73" s="15">
        <f>IF(_Dados!AD63="","",WEEKNUM(_Dados!AD63))</f>
        <v/>
      </c>
    </row>
    <row r="74">
      <c r="B74" s="15">
        <f>IFERROR(_Dados!AC64,"")</f>
        <v/>
      </c>
      <c r="C74" s="38">
        <f>IFERROR(_Dados!AD64,"")</f>
        <v/>
      </c>
      <c r="D74" s="15">
        <f>IFERROR(_Dados!AE64,"")</f>
        <v/>
      </c>
      <c r="E74" s="15">
        <f>IFERROR(_Dados!AF64,"")</f>
        <v/>
      </c>
      <c r="F74" s="15">
        <f>IFERROR(_Dados!AG64,"")</f>
        <v/>
      </c>
      <c r="G74" s="15">
        <f>IF(_Dados!AD64="","",DAY(_Dados!AD64))</f>
        <v/>
      </c>
      <c r="H74" s="15">
        <f>IF(_Dados!AD64="","",MONTH(_Dados!AD64))</f>
        <v/>
      </c>
      <c r="I74" s="15">
        <f>IF(_Dados!AD64="","",YEAR(_Dados!AD64))</f>
        <v/>
      </c>
      <c r="J74" s="15">
        <f>IF(_Dados!AD64="","",WEEKNUM(_Dados!AD64))</f>
        <v/>
      </c>
    </row>
    <row r="75">
      <c r="B75" s="15">
        <f>IFERROR(_Dados!AC65,"")</f>
        <v/>
      </c>
      <c r="C75" s="38">
        <f>IFERROR(_Dados!AD65,"")</f>
        <v/>
      </c>
      <c r="D75" s="15">
        <f>IFERROR(_Dados!AE65,"")</f>
        <v/>
      </c>
      <c r="E75" s="15">
        <f>IFERROR(_Dados!AF65,"")</f>
        <v/>
      </c>
      <c r="F75" s="15">
        <f>IFERROR(_Dados!AG65,"")</f>
        <v/>
      </c>
      <c r="G75" s="15">
        <f>IF(_Dados!AD65="","",DAY(_Dados!AD65))</f>
        <v/>
      </c>
      <c r="H75" s="15">
        <f>IF(_Dados!AD65="","",MONTH(_Dados!AD65))</f>
        <v/>
      </c>
      <c r="I75" s="15">
        <f>IF(_Dados!AD65="","",YEAR(_Dados!AD65))</f>
        <v/>
      </c>
      <c r="J75" s="15">
        <f>IF(_Dados!AD65="","",WEEKNUM(_Dados!AD65))</f>
        <v/>
      </c>
    </row>
    <row r="76">
      <c r="B76" s="15">
        <f>IFERROR(_Dados!AC66,"")</f>
        <v/>
      </c>
      <c r="C76" s="38">
        <f>IFERROR(_Dados!AD66,"")</f>
        <v/>
      </c>
      <c r="D76" s="15">
        <f>IFERROR(_Dados!AE66,"")</f>
        <v/>
      </c>
      <c r="E76" s="15">
        <f>IFERROR(_Dados!AF66,"")</f>
        <v/>
      </c>
      <c r="F76" s="15">
        <f>IFERROR(_Dados!AG66,"")</f>
        <v/>
      </c>
      <c r="G76" s="15">
        <f>IF(_Dados!AD66="","",DAY(_Dados!AD66))</f>
        <v/>
      </c>
      <c r="H76" s="15">
        <f>IF(_Dados!AD66="","",MONTH(_Dados!AD66))</f>
        <v/>
      </c>
      <c r="I76" s="15">
        <f>IF(_Dados!AD66="","",YEAR(_Dados!AD66))</f>
        <v/>
      </c>
      <c r="J76" s="15">
        <f>IF(_Dados!AD66="","",WEEKNUM(_Dados!AD66))</f>
        <v/>
      </c>
    </row>
    <row r="77">
      <c r="B77" s="15">
        <f>IFERROR(_Dados!AC67,"")</f>
        <v/>
      </c>
      <c r="C77" s="38">
        <f>IFERROR(_Dados!AD67,"")</f>
        <v/>
      </c>
      <c r="D77" s="15">
        <f>IFERROR(_Dados!AE67,"")</f>
        <v/>
      </c>
      <c r="E77" s="15">
        <f>IFERROR(_Dados!AF67,"")</f>
        <v/>
      </c>
      <c r="F77" s="15">
        <f>IFERROR(_Dados!AG67,"")</f>
        <v/>
      </c>
      <c r="G77" s="15">
        <f>IF(_Dados!AD67="","",DAY(_Dados!AD67))</f>
        <v/>
      </c>
      <c r="H77" s="15">
        <f>IF(_Dados!AD67="","",MONTH(_Dados!AD67))</f>
        <v/>
      </c>
      <c r="I77" s="15">
        <f>IF(_Dados!AD67="","",YEAR(_Dados!AD67))</f>
        <v/>
      </c>
      <c r="J77" s="15">
        <f>IF(_Dados!AD67="","",WEEKNUM(_Dados!AD67))</f>
        <v/>
      </c>
    </row>
    <row r="78">
      <c r="B78" s="15">
        <f>IFERROR(_Dados!AC68,"")</f>
        <v/>
      </c>
      <c r="C78" s="38">
        <f>IFERROR(_Dados!AD68,"")</f>
        <v/>
      </c>
      <c r="D78" s="15">
        <f>IFERROR(_Dados!AE68,"")</f>
        <v/>
      </c>
      <c r="E78" s="15">
        <f>IFERROR(_Dados!AF68,"")</f>
        <v/>
      </c>
      <c r="F78" s="15">
        <f>IFERROR(_Dados!AG68,"")</f>
        <v/>
      </c>
      <c r="G78" s="15">
        <f>IF(_Dados!AD68="","",DAY(_Dados!AD68))</f>
        <v/>
      </c>
      <c r="H78" s="15">
        <f>IF(_Dados!AD68="","",MONTH(_Dados!AD68))</f>
        <v/>
      </c>
      <c r="I78" s="15">
        <f>IF(_Dados!AD68="","",YEAR(_Dados!AD68))</f>
        <v/>
      </c>
      <c r="J78" s="15">
        <f>IF(_Dados!AD68="","",WEEKNUM(_Dados!AD68))</f>
        <v/>
      </c>
    </row>
    <row r="79">
      <c r="B79" s="15">
        <f>IFERROR(_Dados!AC69,"")</f>
        <v/>
      </c>
      <c r="C79" s="38">
        <f>IFERROR(_Dados!AD69,"")</f>
        <v/>
      </c>
      <c r="D79" s="15">
        <f>IFERROR(_Dados!AE69,"")</f>
        <v/>
      </c>
      <c r="E79" s="15">
        <f>IFERROR(_Dados!AF69,"")</f>
        <v/>
      </c>
      <c r="F79" s="15">
        <f>IFERROR(_Dados!AG69,"")</f>
        <v/>
      </c>
      <c r="G79" s="15">
        <f>IF(_Dados!AD69="","",DAY(_Dados!AD69))</f>
        <v/>
      </c>
      <c r="H79" s="15">
        <f>IF(_Dados!AD69="","",MONTH(_Dados!AD69))</f>
        <v/>
      </c>
      <c r="I79" s="15">
        <f>IF(_Dados!AD69="","",YEAR(_Dados!AD69))</f>
        <v/>
      </c>
      <c r="J79" s="15">
        <f>IF(_Dados!AD69="","",WEEKNUM(_Dados!AD69))</f>
        <v/>
      </c>
    </row>
    <row r="80">
      <c r="B80" s="15">
        <f>IFERROR(_Dados!AC70,"")</f>
        <v/>
      </c>
      <c r="C80" s="38">
        <f>IFERROR(_Dados!AD70,"")</f>
        <v/>
      </c>
      <c r="D80" s="15">
        <f>IFERROR(_Dados!AE70,"")</f>
        <v/>
      </c>
      <c r="E80" s="15">
        <f>IFERROR(_Dados!AF70,"")</f>
        <v/>
      </c>
      <c r="F80" s="15">
        <f>IFERROR(_Dados!AG70,"")</f>
        <v/>
      </c>
      <c r="G80" s="15">
        <f>IF(_Dados!AD70="","",DAY(_Dados!AD70))</f>
        <v/>
      </c>
      <c r="H80" s="15">
        <f>IF(_Dados!AD70="","",MONTH(_Dados!AD70))</f>
        <v/>
      </c>
      <c r="I80" s="15">
        <f>IF(_Dados!AD70="","",YEAR(_Dados!AD70))</f>
        <v/>
      </c>
      <c r="J80" s="15">
        <f>IF(_Dados!AD70="","",WEEKNUM(_Dados!AD70))</f>
        <v/>
      </c>
    </row>
    <row r="81">
      <c r="B81" s="15">
        <f>IFERROR(_Dados!AC71,"")</f>
        <v/>
      </c>
      <c r="C81" s="38">
        <f>IFERROR(_Dados!AD71,"")</f>
        <v/>
      </c>
      <c r="D81" s="15">
        <f>IFERROR(_Dados!AE71,"")</f>
        <v/>
      </c>
      <c r="E81" s="15">
        <f>IFERROR(_Dados!AF71,"")</f>
        <v/>
      </c>
      <c r="F81" s="15">
        <f>IFERROR(_Dados!AG71,"")</f>
        <v/>
      </c>
      <c r="G81" s="15">
        <f>IF(_Dados!AD71="","",DAY(_Dados!AD71))</f>
        <v/>
      </c>
      <c r="H81" s="15">
        <f>IF(_Dados!AD71="","",MONTH(_Dados!AD71))</f>
        <v/>
      </c>
      <c r="I81" s="15">
        <f>IF(_Dados!AD71="","",YEAR(_Dados!AD71))</f>
        <v/>
      </c>
      <c r="J81" s="15">
        <f>IF(_Dados!AD71="","",WEEKNUM(_Dados!AD71))</f>
        <v/>
      </c>
    </row>
    <row r="82">
      <c r="B82" s="15">
        <f>IFERROR(_Dados!AC72,"")</f>
        <v/>
      </c>
      <c r="C82" s="38">
        <f>IFERROR(_Dados!AD72,"")</f>
        <v/>
      </c>
      <c r="D82" s="15">
        <f>IFERROR(_Dados!AE72,"")</f>
        <v/>
      </c>
      <c r="E82" s="15">
        <f>IFERROR(_Dados!AF72,"")</f>
        <v/>
      </c>
      <c r="F82" s="15">
        <f>IFERROR(_Dados!AG72,"")</f>
        <v/>
      </c>
      <c r="G82" s="15">
        <f>IF(_Dados!AD72="","",DAY(_Dados!AD72))</f>
        <v/>
      </c>
      <c r="H82" s="15">
        <f>IF(_Dados!AD72="","",MONTH(_Dados!AD72))</f>
        <v/>
      </c>
      <c r="I82" s="15">
        <f>IF(_Dados!AD72="","",YEAR(_Dados!AD72))</f>
        <v/>
      </c>
      <c r="J82" s="15">
        <f>IF(_Dados!AD72="","",WEEKNUM(_Dados!AD72))</f>
        <v/>
      </c>
    </row>
    <row r="83">
      <c r="B83" s="15">
        <f>IFERROR(_Dados!AC73,"")</f>
        <v/>
      </c>
      <c r="C83" s="38">
        <f>IFERROR(_Dados!AD73,"")</f>
        <v/>
      </c>
      <c r="D83" s="15">
        <f>IFERROR(_Dados!AE73,"")</f>
        <v/>
      </c>
      <c r="E83" s="15">
        <f>IFERROR(_Dados!AF73,"")</f>
        <v/>
      </c>
      <c r="F83" s="15">
        <f>IFERROR(_Dados!AG73,"")</f>
        <v/>
      </c>
      <c r="G83" s="15">
        <f>IF(_Dados!AD73="","",DAY(_Dados!AD73))</f>
        <v/>
      </c>
      <c r="H83" s="15">
        <f>IF(_Dados!AD73="","",MONTH(_Dados!AD73))</f>
        <v/>
      </c>
      <c r="I83" s="15">
        <f>IF(_Dados!AD73="","",YEAR(_Dados!AD73))</f>
        <v/>
      </c>
      <c r="J83" s="15">
        <f>IF(_Dados!AD73="","",WEEKNUM(_Dados!AD73))</f>
        <v/>
      </c>
    </row>
    <row r="84">
      <c r="B84" s="15">
        <f>IFERROR(_Dados!AC74,"")</f>
        <v/>
      </c>
      <c r="C84" s="38">
        <f>IFERROR(_Dados!AD74,"")</f>
        <v/>
      </c>
      <c r="D84" s="15">
        <f>IFERROR(_Dados!AE74,"")</f>
        <v/>
      </c>
      <c r="E84" s="15">
        <f>IFERROR(_Dados!AF74,"")</f>
        <v/>
      </c>
      <c r="F84" s="15">
        <f>IFERROR(_Dados!AG74,"")</f>
        <v/>
      </c>
      <c r="G84" s="15">
        <f>IF(_Dados!AD74="","",DAY(_Dados!AD74))</f>
        <v/>
      </c>
      <c r="H84" s="15">
        <f>IF(_Dados!AD74="","",MONTH(_Dados!AD74))</f>
        <v/>
      </c>
      <c r="I84" s="15">
        <f>IF(_Dados!AD74="","",YEAR(_Dados!AD74))</f>
        <v/>
      </c>
      <c r="J84" s="15">
        <f>IF(_Dados!AD74="","",WEEKNUM(_Dados!AD74))</f>
        <v/>
      </c>
    </row>
    <row r="85">
      <c r="B85" s="15">
        <f>IFERROR(_Dados!AC75,"")</f>
        <v/>
      </c>
      <c r="C85" s="38">
        <f>IFERROR(_Dados!AD75,"")</f>
        <v/>
      </c>
      <c r="D85" s="15">
        <f>IFERROR(_Dados!AE75,"")</f>
        <v/>
      </c>
      <c r="E85" s="15">
        <f>IFERROR(_Dados!AF75,"")</f>
        <v/>
      </c>
      <c r="F85" s="15">
        <f>IFERROR(_Dados!AG75,"")</f>
        <v/>
      </c>
      <c r="G85" s="15">
        <f>IF(_Dados!AD75="","",DAY(_Dados!AD75))</f>
        <v/>
      </c>
      <c r="H85" s="15">
        <f>IF(_Dados!AD75="","",MONTH(_Dados!AD75))</f>
        <v/>
      </c>
      <c r="I85" s="15">
        <f>IF(_Dados!AD75="","",YEAR(_Dados!AD75))</f>
        <v/>
      </c>
      <c r="J85" s="15">
        <f>IF(_Dados!AD75="","",WEEKNUM(_Dados!AD75))</f>
        <v/>
      </c>
    </row>
    <row r="86">
      <c r="B86" s="15">
        <f>IFERROR(_Dados!AC76,"")</f>
        <v/>
      </c>
      <c r="C86" s="38">
        <f>IFERROR(_Dados!AD76,"")</f>
        <v/>
      </c>
      <c r="D86" s="15">
        <f>IFERROR(_Dados!AE76,"")</f>
        <v/>
      </c>
      <c r="E86" s="15">
        <f>IFERROR(_Dados!AF76,"")</f>
        <v/>
      </c>
      <c r="F86" s="15">
        <f>IFERROR(_Dados!AG76,"")</f>
        <v/>
      </c>
      <c r="G86" s="15">
        <f>IF(_Dados!AD76="","",DAY(_Dados!AD76))</f>
        <v/>
      </c>
      <c r="H86" s="15">
        <f>IF(_Dados!AD76="","",MONTH(_Dados!AD76))</f>
        <v/>
      </c>
      <c r="I86" s="15">
        <f>IF(_Dados!AD76="","",YEAR(_Dados!AD76))</f>
        <v/>
      </c>
      <c r="J86" s="15">
        <f>IF(_Dados!AD76="","",WEEKNUM(_Dados!AD76))</f>
        <v/>
      </c>
    </row>
    <row r="87">
      <c r="B87" s="15">
        <f>IFERROR(_Dados!AC77,"")</f>
        <v/>
      </c>
      <c r="C87" s="38">
        <f>IFERROR(_Dados!AD77,"")</f>
        <v/>
      </c>
      <c r="D87" s="15">
        <f>IFERROR(_Dados!AE77,"")</f>
        <v/>
      </c>
      <c r="E87" s="15">
        <f>IFERROR(_Dados!AF77,"")</f>
        <v/>
      </c>
      <c r="F87" s="15">
        <f>IFERROR(_Dados!AG77,"")</f>
        <v/>
      </c>
      <c r="G87" s="15">
        <f>IF(_Dados!AD77="","",DAY(_Dados!AD77))</f>
        <v/>
      </c>
      <c r="H87" s="15">
        <f>IF(_Dados!AD77="","",MONTH(_Dados!AD77))</f>
        <v/>
      </c>
      <c r="I87" s="15">
        <f>IF(_Dados!AD77="","",YEAR(_Dados!AD77))</f>
        <v/>
      </c>
      <c r="J87" s="15">
        <f>IF(_Dados!AD77="","",WEEKNUM(_Dados!AD77))</f>
        <v/>
      </c>
    </row>
    <row r="88">
      <c r="B88" s="15">
        <f>IFERROR(_Dados!AC78,"")</f>
        <v/>
      </c>
      <c r="C88" s="38">
        <f>IFERROR(_Dados!AD78,"")</f>
        <v/>
      </c>
      <c r="D88" s="15">
        <f>IFERROR(_Dados!AE78,"")</f>
        <v/>
      </c>
      <c r="E88" s="15">
        <f>IFERROR(_Dados!AF78,"")</f>
        <v/>
      </c>
      <c r="F88" s="15">
        <f>IFERROR(_Dados!AG78,"")</f>
        <v/>
      </c>
      <c r="G88" s="15">
        <f>IF(_Dados!AD78="","",DAY(_Dados!AD78))</f>
        <v/>
      </c>
      <c r="H88" s="15">
        <f>IF(_Dados!AD78="","",MONTH(_Dados!AD78))</f>
        <v/>
      </c>
      <c r="I88" s="15">
        <f>IF(_Dados!AD78="","",YEAR(_Dados!AD78))</f>
        <v/>
      </c>
      <c r="J88" s="15">
        <f>IF(_Dados!AD78="","",WEEKNUM(_Dados!AD78))</f>
        <v/>
      </c>
    </row>
    <row r="89">
      <c r="B89" s="15">
        <f>IFERROR(_Dados!AC79,"")</f>
        <v/>
      </c>
      <c r="C89" s="38">
        <f>IFERROR(_Dados!AD79,"")</f>
        <v/>
      </c>
      <c r="D89" s="15">
        <f>IFERROR(_Dados!AE79,"")</f>
        <v/>
      </c>
      <c r="E89" s="15">
        <f>IFERROR(_Dados!AF79,"")</f>
        <v/>
      </c>
      <c r="F89" s="15">
        <f>IFERROR(_Dados!AG79,"")</f>
        <v/>
      </c>
      <c r="G89" s="15">
        <f>IF(_Dados!AD79="","",DAY(_Dados!AD79))</f>
        <v/>
      </c>
      <c r="H89" s="15">
        <f>IF(_Dados!AD79="","",MONTH(_Dados!AD79))</f>
        <v/>
      </c>
      <c r="I89" s="15">
        <f>IF(_Dados!AD79="","",YEAR(_Dados!AD79))</f>
        <v/>
      </c>
      <c r="J89" s="15">
        <f>IF(_Dados!AD79="","",WEEKNUM(_Dados!AD79))</f>
        <v/>
      </c>
    </row>
    <row r="90">
      <c r="B90" s="15">
        <f>IFERROR(_Dados!AC80,"")</f>
        <v/>
      </c>
      <c r="C90" s="38">
        <f>IFERROR(_Dados!AD80,"")</f>
        <v/>
      </c>
      <c r="D90" s="15">
        <f>IFERROR(_Dados!AE80,"")</f>
        <v/>
      </c>
      <c r="E90" s="15">
        <f>IFERROR(_Dados!AF80,"")</f>
        <v/>
      </c>
      <c r="F90" s="15">
        <f>IFERROR(_Dados!AG80,"")</f>
        <v/>
      </c>
      <c r="G90" s="15">
        <f>IF(_Dados!AD80="","",DAY(_Dados!AD80))</f>
        <v/>
      </c>
      <c r="H90" s="15">
        <f>IF(_Dados!AD80="","",MONTH(_Dados!AD80))</f>
        <v/>
      </c>
      <c r="I90" s="15">
        <f>IF(_Dados!AD80="","",YEAR(_Dados!AD80))</f>
        <v/>
      </c>
      <c r="J90" s="15">
        <f>IF(_Dados!AD80="","",WEEKNUM(_Dados!AD80))</f>
        <v/>
      </c>
    </row>
    <row r="91">
      <c r="B91" s="15">
        <f>IFERROR(_Dados!AC81,"")</f>
        <v/>
      </c>
      <c r="C91" s="38">
        <f>IFERROR(_Dados!AD81,"")</f>
        <v/>
      </c>
      <c r="D91" s="15">
        <f>IFERROR(_Dados!AE81,"")</f>
        <v/>
      </c>
      <c r="E91" s="15">
        <f>IFERROR(_Dados!AF81,"")</f>
        <v/>
      </c>
      <c r="F91" s="15">
        <f>IFERROR(_Dados!AG81,"")</f>
        <v/>
      </c>
      <c r="G91" s="15">
        <f>IF(_Dados!AD81="","",DAY(_Dados!AD81))</f>
        <v/>
      </c>
      <c r="H91" s="15">
        <f>IF(_Dados!AD81="","",MONTH(_Dados!AD81))</f>
        <v/>
      </c>
      <c r="I91" s="15">
        <f>IF(_Dados!AD81="","",YEAR(_Dados!AD81))</f>
        <v/>
      </c>
      <c r="J91" s="15">
        <f>IF(_Dados!AD81="","",WEEKNUM(_Dados!AD81))</f>
        <v/>
      </c>
    </row>
    <row r="92">
      <c r="B92" s="15">
        <f>IFERROR(_Dados!AC82,"")</f>
        <v/>
      </c>
      <c r="C92" s="38">
        <f>IFERROR(_Dados!AD82,"")</f>
        <v/>
      </c>
      <c r="D92" s="15">
        <f>IFERROR(_Dados!AE82,"")</f>
        <v/>
      </c>
      <c r="E92" s="15">
        <f>IFERROR(_Dados!AF82,"")</f>
        <v/>
      </c>
      <c r="F92" s="15">
        <f>IFERROR(_Dados!AG82,"")</f>
        <v/>
      </c>
      <c r="G92" s="15">
        <f>IF(_Dados!AD82="","",DAY(_Dados!AD82))</f>
        <v/>
      </c>
      <c r="H92" s="15">
        <f>IF(_Dados!AD82="","",MONTH(_Dados!AD82))</f>
        <v/>
      </c>
      <c r="I92" s="15">
        <f>IF(_Dados!AD82="","",YEAR(_Dados!AD82))</f>
        <v/>
      </c>
      <c r="J92" s="15">
        <f>IF(_Dados!AD82="","",WEEKNUM(_Dados!AD82))</f>
        <v/>
      </c>
    </row>
    <row r="93">
      <c r="B93" s="15">
        <f>IFERROR(_Dados!AC83,"")</f>
        <v/>
      </c>
      <c r="C93" s="38">
        <f>IFERROR(_Dados!AD83,"")</f>
        <v/>
      </c>
      <c r="D93" s="15">
        <f>IFERROR(_Dados!AE83,"")</f>
        <v/>
      </c>
      <c r="E93" s="15">
        <f>IFERROR(_Dados!AF83,"")</f>
        <v/>
      </c>
      <c r="F93" s="15">
        <f>IFERROR(_Dados!AG83,"")</f>
        <v/>
      </c>
      <c r="G93" s="15">
        <f>IF(_Dados!AD83="","",DAY(_Dados!AD83))</f>
        <v/>
      </c>
      <c r="H93" s="15">
        <f>IF(_Dados!AD83="","",MONTH(_Dados!AD83))</f>
        <v/>
      </c>
      <c r="I93" s="15">
        <f>IF(_Dados!AD83="","",YEAR(_Dados!AD83))</f>
        <v/>
      </c>
      <c r="J93" s="15">
        <f>IF(_Dados!AD83="","",WEEKNUM(_Dados!AD83))</f>
        <v/>
      </c>
    </row>
    <row r="94">
      <c r="B94" s="15">
        <f>IFERROR(_Dados!AC84,"")</f>
        <v/>
      </c>
      <c r="C94" s="38">
        <f>IFERROR(_Dados!AD84,"")</f>
        <v/>
      </c>
      <c r="D94" s="15">
        <f>IFERROR(_Dados!AE84,"")</f>
        <v/>
      </c>
      <c r="E94" s="15">
        <f>IFERROR(_Dados!AF84,"")</f>
        <v/>
      </c>
      <c r="F94" s="15">
        <f>IFERROR(_Dados!AG84,"")</f>
        <v/>
      </c>
      <c r="G94" s="15">
        <f>IF(_Dados!AD84="","",DAY(_Dados!AD84))</f>
        <v/>
      </c>
      <c r="H94" s="15">
        <f>IF(_Dados!AD84="","",MONTH(_Dados!AD84))</f>
        <v/>
      </c>
      <c r="I94" s="15">
        <f>IF(_Dados!AD84="","",YEAR(_Dados!AD84))</f>
        <v/>
      </c>
      <c r="J94" s="15">
        <f>IF(_Dados!AD84="","",WEEKNUM(_Dados!AD84))</f>
        <v/>
      </c>
    </row>
    <row r="95">
      <c r="B95" s="15">
        <f>IFERROR(_Dados!AC85,"")</f>
        <v/>
      </c>
      <c r="C95" s="38">
        <f>IFERROR(_Dados!AD85,"")</f>
        <v/>
      </c>
      <c r="D95" s="15">
        <f>IFERROR(_Dados!AE85,"")</f>
        <v/>
      </c>
      <c r="E95" s="15">
        <f>IFERROR(_Dados!AF85,"")</f>
        <v/>
      </c>
      <c r="F95" s="15">
        <f>IFERROR(_Dados!AG85,"")</f>
        <v/>
      </c>
      <c r="G95" s="15">
        <f>IF(_Dados!AD85="","",DAY(_Dados!AD85))</f>
        <v/>
      </c>
      <c r="H95" s="15">
        <f>IF(_Dados!AD85="","",MONTH(_Dados!AD85))</f>
        <v/>
      </c>
      <c r="I95" s="15">
        <f>IF(_Dados!AD85="","",YEAR(_Dados!AD85))</f>
        <v/>
      </c>
      <c r="J95" s="15">
        <f>IF(_Dados!AD85="","",WEEKNUM(_Dados!AD85))</f>
        <v/>
      </c>
    </row>
    <row r="96">
      <c r="B96" s="15">
        <f>IFERROR(_Dados!AC86,"")</f>
        <v/>
      </c>
      <c r="C96" s="38">
        <f>IFERROR(_Dados!AD86,"")</f>
        <v/>
      </c>
      <c r="D96" s="15">
        <f>IFERROR(_Dados!AE86,"")</f>
        <v/>
      </c>
      <c r="E96" s="15">
        <f>IFERROR(_Dados!AF86,"")</f>
        <v/>
      </c>
      <c r="F96" s="15">
        <f>IFERROR(_Dados!AG86,"")</f>
        <v/>
      </c>
      <c r="G96" s="15">
        <f>IF(_Dados!AD86="","",DAY(_Dados!AD86))</f>
        <v/>
      </c>
      <c r="H96" s="15">
        <f>IF(_Dados!AD86="","",MONTH(_Dados!AD86))</f>
        <v/>
      </c>
      <c r="I96" s="15">
        <f>IF(_Dados!AD86="","",YEAR(_Dados!AD86))</f>
        <v/>
      </c>
      <c r="J96" s="15">
        <f>IF(_Dados!AD86="","",WEEKNUM(_Dados!AD86))</f>
        <v/>
      </c>
    </row>
    <row r="97">
      <c r="B97" s="15">
        <f>IFERROR(_Dados!AC87,"")</f>
        <v/>
      </c>
      <c r="C97" s="38">
        <f>IFERROR(_Dados!AD87,"")</f>
        <v/>
      </c>
      <c r="D97" s="15">
        <f>IFERROR(_Dados!AE87,"")</f>
        <v/>
      </c>
      <c r="E97" s="15">
        <f>IFERROR(_Dados!AF87,"")</f>
        <v/>
      </c>
      <c r="F97" s="15">
        <f>IFERROR(_Dados!AG87,"")</f>
        <v/>
      </c>
      <c r="G97" s="15">
        <f>IF(_Dados!AD87="","",DAY(_Dados!AD87))</f>
        <v/>
      </c>
      <c r="H97" s="15">
        <f>IF(_Dados!AD87="","",MONTH(_Dados!AD87))</f>
        <v/>
      </c>
      <c r="I97" s="15">
        <f>IF(_Dados!AD87="","",YEAR(_Dados!AD87))</f>
        <v/>
      </c>
      <c r="J97" s="15">
        <f>IF(_Dados!AD87="","",WEEKNUM(_Dados!AD87))</f>
        <v/>
      </c>
    </row>
    <row r="98">
      <c r="B98" s="15">
        <f>IFERROR(_Dados!AC88,"")</f>
        <v/>
      </c>
      <c r="C98" s="38">
        <f>IFERROR(_Dados!AD88,"")</f>
        <v/>
      </c>
      <c r="D98" s="15">
        <f>IFERROR(_Dados!AE88,"")</f>
        <v/>
      </c>
      <c r="E98" s="15">
        <f>IFERROR(_Dados!AF88,"")</f>
        <v/>
      </c>
      <c r="F98" s="15">
        <f>IFERROR(_Dados!AG88,"")</f>
        <v/>
      </c>
      <c r="G98" s="15">
        <f>IF(_Dados!AD88="","",DAY(_Dados!AD88))</f>
        <v/>
      </c>
      <c r="H98" s="15">
        <f>IF(_Dados!AD88="","",MONTH(_Dados!AD88))</f>
        <v/>
      </c>
      <c r="I98" s="15">
        <f>IF(_Dados!AD88="","",YEAR(_Dados!AD88))</f>
        <v/>
      </c>
      <c r="J98" s="15">
        <f>IF(_Dados!AD88="","",WEEKNUM(_Dados!AD88))</f>
        <v/>
      </c>
    </row>
    <row r="99">
      <c r="B99" s="15">
        <f>IFERROR(_Dados!AC89,"")</f>
        <v/>
      </c>
      <c r="C99" s="38">
        <f>IFERROR(_Dados!AD89,"")</f>
        <v/>
      </c>
      <c r="D99" s="15">
        <f>IFERROR(_Dados!AE89,"")</f>
        <v/>
      </c>
      <c r="E99" s="15">
        <f>IFERROR(_Dados!AF89,"")</f>
        <v/>
      </c>
      <c r="F99" s="15">
        <f>IFERROR(_Dados!AG89,"")</f>
        <v/>
      </c>
      <c r="G99" s="15">
        <f>IF(_Dados!AD89="","",DAY(_Dados!AD89))</f>
        <v/>
      </c>
      <c r="H99" s="15">
        <f>IF(_Dados!AD89="","",MONTH(_Dados!AD89))</f>
        <v/>
      </c>
      <c r="I99" s="15">
        <f>IF(_Dados!AD89="","",YEAR(_Dados!AD89))</f>
        <v/>
      </c>
      <c r="J99" s="15">
        <f>IF(_Dados!AD89="","",WEEKNUM(_Dados!AD89))</f>
        <v/>
      </c>
    </row>
    <row r="100">
      <c r="B100" s="15">
        <f>IFERROR(_Dados!AC90,"")</f>
        <v/>
      </c>
      <c r="C100" s="38">
        <f>IFERROR(_Dados!AD90,"")</f>
        <v/>
      </c>
      <c r="D100" s="15">
        <f>IFERROR(_Dados!AE90,"")</f>
        <v/>
      </c>
      <c r="E100" s="15">
        <f>IFERROR(_Dados!AF90,"")</f>
        <v/>
      </c>
      <c r="F100" s="15">
        <f>IFERROR(_Dados!AG90,"")</f>
        <v/>
      </c>
      <c r="G100" s="15">
        <f>IF(_Dados!AD90="","",DAY(_Dados!AD90))</f>
        <v/>
      </c>
      <c r="H100" s="15">
        <f>IF(_Dados!AD90="","",MONTH(_Dados!AD90))</f>
        <v/>
      </c>
      <c r="I100" s="15">
        <f>IF(_Dados!AD90="","",YEAR(_Dados!AD90))</f>
        <v/>
      </c>
      <c r="J100" s="15">
        <f>IF(_Dados!AD90="","",WEEKNUM(_Dados!AD90))</f>
        <v/>
      </c>
    </row>
    <row r="101">
      <c r="B101" s="15">
        <f>IFERROR(_Dados!AC91,"")</f>
        <v/>
      </c>
      <c r="C101" s="38">
        <f>IFERROR(_Dados!AD91,"")</f>
        <v/>
      </c>
      <c r="D101" s="15">
        <f>IFERROR(_Dados!AE91,"")</f>
        <v/>
      </c>
      <c r="E101" s="15">
        <f>IFERROR(_Dados!AF91,"")</f>
        <v/>
      </c>
      <c r="F101" s="15">
        <f>IFERROR(_Dados!AG91,"")</f>
        <v/>
      </c>
      <c r="G101" s="15">
        <f>IF(_Dados!AD91="","",DAY(_Dados!AD91))</f>
        <v/>
      </c>
      <c r="H101" s="15">
        <f>IF(_Dados!AD91="","",MONTH(_Dados!AD91))</f>
        <v/>
      </c>
      <c r="I101" s="15">
        <f>IF(_Dados!AD91="","",YEAR(_Dados!AD91))</f>
        <v/>
      </c>
      <c r="J101" s="15">
        <f>IF(_Dados!AD91="","",WEEKNUM(_Dados!AD91))</f>
        <v/>
      </c>
    </row>
    <row r="102">
      <c r="B102" s="15">
        <f>IFERROR(_Dados!AC92,"")</f>
        <v/>
      </c>
      <c r="C102" s="38">
        <f>IFERROR(_Dados!AD92,"")</f>
        <v/>
      </c>
      <c r="D102" s="15">
        <f>IFERROR(_Dados!AE92,"")</f>
        <v/>
      </c>
      <c r="E102" s="15">
        <f>IFERROR(_Dados!AF92,"")</f>
        <v/>
      </c>
      <c r="F102" s="15">
        <f>IFERROR(_Dados!AG92,"")</f>
        <v/>
      </c>
      <c r="G102" s="15">
        <f>IF(_Dados!AD92="","",DAY(_Dados!AD92))</f>
        <v/>
      </c>
      <c r="H102" s="15">
        <f>IF(_Dados!AD92="","",MONTH(_Dados!AD92))</f>
        <v/>
      </c>
      <c r="I102" s="15">
        <f>IF(_Dados!AD92="","",YEAR(_Dados!AD92))</f>
        <v/>
      </c>
      <c r="J102" s="15">
        <f>IF(_Dados!AD92="","",WEEKNUM(_Dados!AD92))</f>
        <v/>
      </c>
    </row>
    <row r="103">
      <c r="B103" s="15">
        <f>IFERROR(_Dados!AC93,"")</f>
        <v/>
      </c>
      <c r="C103" s="38">
        <f>IFERROR(_Dados!AD93,"")</f>
        <v/>
      </c>
      <c r="D103" s="15">
        <f>IFERROR(_Dados!AE93,"")</f>
        <v/>
      </c>
      <c r="E103" s="15">
        <f>IFERROR(_Dados!AF93,"")</f>
        <v/>
      </c>
      <c r="F103" s="15">
        <f>IFERROR(_Dados!AG93,"")</f>
        <v/>
      </c>
      <c r="G103" s="15">
        <f>IF(_Dados!AD93="","",DAY(_Dados!AD93))</f>
        <v/>
      </c>
      <c r="H103" s="15">
        <f>IF(_Dados!AD93="","",MONTH(_Dados!AD93))</f>
        <v/>
      </c>
      <c r="I103" s="15">
        <f>IF(_Dados!AD93="","",YEAR(_Dados!AD93))</f>
        <v/>
      </c>
      <c r="J103" s="15">
        <f>IF(_Dados!AD93="","",WEEKNUM(_Dados!AD93))</f>
        <v/>
      </c>
    </row>
    <row r="104">
      <c r="B104" s="15">
        <f>IFERROR(_Dados!AC94,"")</f>
        <v/>
      </c>
      <c r="C104" s="38">
        <f>IFERROR(_Dados!AD94,"")</f>
        <v/>
      </c>
      <c r="D104" s="15">
        <f>IFERROR(_Dados!AE94,"")</f>
        <v/>
      </c>
      <c r="E104" s="15">
        <f>IFERROR(_Dados!AF94,"")</f>
        <v/>
      </c>
      <c r="F104" s="15">
        <f>IFERROR(_Dados!AG94,"")</f>
        <v/>
      </c>
      <c r="G104" s="15">
        <f>IF(_Dados!AD94="","",DAY(_Dados!AD94))</f>
        <v/>
      </c>
      <c r="H104" s="15">
        <f>IF(_Dados!AD94="","",MONTH(_Dados!AD94))</f>
        <v/>
      </c>
      <c r="I104" s="15">
        <f>IF(_Dados!AD94="","",YEAR(_Dados!AD94))</f>
        <v/>
      </c>
      <c r="J104" s="15">
        <f>IF(_Dados!AD94="","",WEEKNUM(_Dados!AD94))</f>
        <v/>
      </c>
    </row>
    <row r="105">
      <c r="B105" s="15">
        <f>IFERROR(_Dados!AC95,"")</f>
        <v/>
      </c>
      <c r="C105" s="38">
        <f>IFERROR(_Dados!AD95,"")</f>
        <v/>
      </c>
      <c r="D105" s="15">
        <f>IFERROR(_Dados!AE95,"")</f>
        <v/>
      </c>
      <c r="E105" s="15">
        <f>IFERROR(_Dados!AF95,"")</f>
        <v/>
      </c>
      <c r="F105" s="15">
        <f>IFERROR(_Dados!AG95,"")</f>
        <v/>
      </c>
      <c r="G105" s="15">
        <f>IF(_Dados!AD95="","",DAY(_Dados!AD95))</f>
        <v/>
      </c>
      <c r="H105" s="15">
        <f>IF(_Dados!AD95="","",MONTH(_Dados!AD95))</f>
        <v/>
      </c>
      <c r="I105" s="15">
        <f>IF(_Dados!AD95="","",YEAR(_Dados!AD95))</f>
        <v/>
      </c>
      <c r="J105" s="15">
        <f>IF(_Dados!AD95="","",WEEKNUM(_Dados!AD95))</f>
        <v/>
      </c>
    </row>
    <row r="106">
      <c r="B106" s="15">
        <f>IFERROR(_Dados!AC96,"")</f>
        <v/>
      </c>
      <c r="C106" s="38">
        <f>IFERROR(_Dados!AD96,"")</f>
        <v/>
      </c>
      <c r="D106" s="15">
        <f>IFERROR(_Dados!AE96,"")</f>
        <v/>
      </c>
      <c r="E106" s="15">
        <f>IFERROR(_Dados!AF96,"")</f>
        <v/>
      </c>
      <c r="F106" s="15">
        <f>IFERROR(_Dados!AG96,"")</f>
        <v/>
      </c>
      <c r="G106" s="15">
        <f>IF(_Dados!AD96="","",DAY(_Dados!AD96))</f>
        <v/>
      </c>
      <c r="H106" s="15">
        <f>IF(_Dados!AD96="","",MONTH(_Dados!AD96))</f>
        <v/>
      </c>
      <c r="I106" s="15">
        <f>IF(_Dados!AD96="","",YEAR(_Dados!AD96))</f>
        <v/>
      </c>
      <c r="J106" s="15">
        <f>IF(_Dados!AD96="","",WEEKNUM(_Dados!AD96))</f>
        <v/>
      </c>
    </row>
    <row r="107">
      <c r="B107" s="15">
        <f>IFERROR(_Dados!AC97,"")</f>
        <v/>
      </c>
      <c r="C107" s="38">
        <f>IFERROR(_Dados!AD97,"")</f>
        <v/>
      </c>
      <c r="D107" s="15">
        <f>IFERROR(_Dados!AE97,"")</f>
        <v/>
      </c>
      <c r="E107" s="15">
        <f>IFERROR(_Dados!AF97,"")</f>
        <v/>
      </c>
      <c r="F107" s="15">
        <f>IFERROR(_Dados!AG97,"")</f>
        <v/>
      </c>
      <c r="G107" s="15">
        <f>IF(_Dados!AD97="","",DAY(_Dados!AD97))</f>
        <v/>
      </c>
      <c r="H107" s="15">
        <f>IF(_Dados!AD97="","",MONTH(_Dados!AD97))</f>
        <v/>
      </c>
      <c r="I107" s="15">
        <f>IF(_Dados!AD97="","",YEAR(_Dados!AD97))</f>
        <v/>
      </c>
      <c r="J107" s="15">
        <f>IF(_Dados!AD97="","",WEEKNUM(_Dados!AD97))</f>
        <v/>
      </c>
    </row>
    <row r="108">
      <c r="B108" s="15">
        <f>IFERROR(_Dados!AC98,"")</f>
        <v/>
      </c>
      <c r="C108" s="38">
        <f>IFERROR(_Dados!AD98,"")</f>
        <v/>
      </c>
      <c r="D108" s="15">
        <f>IFERROR(_Dados!AE98,"")</f>
        <v/>
      </c>
      <c r="E108" s="15">
        <f>IFERROR(_Dados!AF98,"")</f>
        <v/>
      </c>
      <c r="F108" s="15">
        <f>IFERROR(_Dados!AG98,"")</f>
        <v/>
      </c>
      <c r="G108" s="15">
        <f>IF(_Dados!AD98="","",DAY(_Dados!AD98))</f>
        <v/>
      </c>
      <c r="H108" s="15">
        <f>IF(_Dados!AD98="","",MONTH(_Dados!AD98))</f>
        <v/>
      </c>
      <c r="I108" s="15">
        <f>IF(_Dados!AD98="","",YEAR(_Dados!AD98))</f>
        <v/>
      </c>
      <c r="J108" s="15">
        <f>IF(_Dados!AD98="","",WEEKNUM(_Dados!AD98))</f>
        <v/>
      </c>
    </row>
    <row r="109">
      <c r="B109" s="15">
        <f>IFERROR(_Dados!AC99,"")</f>
        <v/>
      </c>
      <c r="C109" s="38">
        <f>IFERROR(_Dados!AD99,"")</f>
        <v/>
      </c>
      <c r="D109" s="15">
        <f>IFERROR(_Dados!AE99,"")</f>
        <v/>
      </c>
      <c r="E109" s="15">
        <f>IFERROR(_Dados!AF99,"")</f>
        <v/>
      </c>
      <c r="F109" s="15">
        <f>IFERROR(_Dados!AG99,"")</f>
        <v/>
      </c>
      <c r="G109" s="15">
        <f>IF(_Dados!AD99="","",DAY(_Dados!AD99))</f>
        <v/>
      </c>
      <c r="H109" s="15">
        <f>IF(_Dados!AD99="","",MONTH(_Dados!AD99))</f>
        <v/>
      </c>
      <c r="I109" s="15">
        <f>IF(_Dados!AD99="","",YEAR(_Dados!AD99))</f>
        <v/>
      </c>
      <c r="J109" s="15">
        <f>IF(_Dados!AD99="","",WEEKNUM(_Dados!AD99))</f>
        <v/>
      </c>
    </row>
    <row r="110">
      <c r="B110" s="15">
        <f>IFERROR(_Dados!AC100,"")</f>
        <v/>
      </c>
      <c r="C110" s="38">
        <f>IFERROR(_Dados!AD100,"")</f>
        <v/>
      </c>
      <c r="D110" s="15">
        <f>IFERROR(_Dados!AE100,"")</f>
        <v/>
      </c>
      <c r="E110" s="15">
        <f>IFERROR(_Dados!AF100,"")</f>
        <v/>
      </c>
      <c r="F110" s="15">
        <f>IFERROR(_Dados!AG100,"")</f>
        <v/>
      </c>
      <c r="G110" s="15">
        <f>IF(_Dados!AD100="","",DAY(_Dados!AD100))</f>
        <v/>
      </c>
      <c r="H110" s="15">
        <f>IF(_Dados!AD100="","",MONTH(_Dados!AD100))</f>
        <v/>
      </c>
      <c r="I110" s="15">
        <f>IF(_Dados!AD100="","",YEAR(_Dados!AD100))</f>
        <v/>
      </c>
      <c r="J110" s="15">
        <f>IF(_Dados!AD100="","",WEEKNUM(_Dados!AD100))</f>
        <v/>
      </c>
    </row>
    <row r="111">
      <c r="B111" s="15">
        <f>IFERROR(_Dados!AC101,"")</f>
        <v/>
      </c>
      <c r="C111" s="38">
        <f>IFERROR(_Dados!AD101,"")</f>
        <v/>
      </c>
      <c r="D111" s="15">
        <f>IFERROR(_Dados!AE101,"")</f>
        <v/>
      </c>
      <c r="E111" s="15">
        <f>IFERROR(_Dados!AF101,"")</f>
        <v/>
      </c>
      <c r="F111" s="15">
        <f>IFERROR(_Dados!AG101,"")</f>
        <v/>
      </c>
      <c r="G111" s="15">
        <f>IF(_Dados!AD101="","",DAY(_Dados!AD101))</f>
        <v/>
      </c>
      <c r="H111" s="15">
        <f>IF(_Dados!AD101="","",MONTH(_Dados!AD101))</f>
        <v/>
      </c>
      <c r="I111" s="15">
        <f>IF(_Dados!AD101="","",YEAR(_Dados!AD101))</f>
        <v/>
      </c>
      <c r="J111" s="15">
        <f>IF(_Dados!AD101="","",WEEKNUM(_Dados!AD101))</f>
        <v/>
      </c>
    </row>
    <row r="112">
      <c r="B112" s="15">
        <f>IFERROR(_Dados!AC102,"")</f>
        <v/>
      </c>
      <c r="C112" s="38">
        <f>IFERROR(_Dados!AD102,"")</f>
        <v/>
      </c>
      <c r="D112" s="15">
        <f>IFERROR(_Dados!AE102,"")</f>
        <v/>
      </c>
      <c r="E112" s="15">
        <f>IFERROR(_Dados!AF102,"")</f>
        <v/>
      </c>
      <c r="F112" s="15">
        <f>IFERROR(_Dados!AG102,"")</f>
        <v/>
      </c>
      <c r="G112" s="15">
        <f>IF(_Dados!AD102="","",DAY(_Dados!AD102))</f>
        <v/>
      </c>
      <c r="H112" s="15">
        <f>IF(_Dados!AD102="","",MONTH(_Dados!AD102))</f>
        <v/>
      </c>
      <c r="I112" s="15">
        <f>IF(_Dados!AD102="","",YEAR(_Dados!AD102))</f>
        <v/>
      </c>
      <c r="J112" s="15">
        <f>IF(_Dados!AD102="","",WEEKNUM(_Dados!AD102))</f>
        <v/>
      </c>
    </row>
    <row r="113">
      <c r="B113" s="15">
        <f>IFERROR(_Dados!AC103,"")</f>
        <v/>
      </c>
      <c r="C113" s="38">
        <f>IFERROR(_Dados!AD103,"")</f>
        <v/>
      </c>
      <c r="D113" s="15">
        <f>IFERROR(_Dados!AE103,"")</f>
        <v/>
      </c>
      <c r="E113" s="15">
        <f>IFERROR(_Dados!AF103,"")</f>
        <v/>
      </c>
      <c r="F113" s="15">
        <f>IFERROR(_Dados!AG103,"")</f>
        <v/>
      </c>
      <c r="G113" s="15">
        <f>IF(_Dados!AD103="","",DAY(_Dados!AD103))</f>
        <v/>
      </c>
      <c r="H113" s="15">
        <f>IF(_Dados!AD103="","",MONTH(_Dados!AD103))</f>
        <v/>
      </c>
      <c r="I113" s="15">
        <f>IF(_Dados!AD103="","",YEAR(_Dados!AD103))</f>
        <v/>
      </c>
      <c r="J113" s="15">
        <f>IF(_Dados!AD103="","",WEEKNUM(_Dados!AD103))</f>
        <v/>
      </c>
    </row>
    <row r="114">
      <c r="B114" s="15">
        <f>IFERROR(_Dados!AC104,"")</f>
        <v/>
      </c>
      <c r="C114" s="38">
        <f>IFERROR(_Dados!AD104,"")</f>
        <v/>
      </c>
      <c r="D114" s="15">
        <f>IFERROR(_Dados!AE104,"")</f>
        <v/>
      </c>
      <c r="E114" s="15">
        <f>IFERROR(_Dados!AF104,"")</f>
        <v/>
      </c>
      <c r="F114" s="15">
        <f>IFERROR(_Dados!AG104,"")</f>
        <v/>
      </c>
      <c r="G114" s="15">
        <f>IF(_Dados!AD104="","",DAY(_Dados!AD104))</f>
        <v/>
      </c>
      <c r="H114" s="15">
        <f>IF(_Dados!AD104="","",MONTH(_Dados!AD104))</f>
        <v/>
      </c>
      <c r="I114" s="15">
        <f>IF(_Dados!AD104="","",YEAR(_Dados!AD104))</f>
        <v/>
      </c>
      <c r="J114" s="15">
        <f>IF(_Dados!AD104="","",WEEKNUM(_Dados!AD104))</f>
        <v/>
      </c>
    </row>
    <row r="115">
      <c r="B115" s="15">
        <f>IFERROR(_Dados!AC105,"")</f>
        <v/>
      </c>
      <c r="C115" s="38">
        <f>IFERROR(_Dados!AD105,"")</f>
        <v/>
      </c>
      <c r="D115" s="15">
        <f>IFERROR(_Dados!AE105,"")</f>
        <v/>
      </c>
      <c r="E115" s="15">
        <f>IFERROR(_Dados!AF105,"")</f>
        <v/>
      </c>
      <c r="F115" s="15">
        <f>IFERROR(_Dados!AG105,"")</f>
        <v/>
      </c>
      <c r="G115" s="15">
        <f>IF(_Dados!AD105="","",DAY(_Dados!AD105))</f>
        <v/>
      </c>
      <c r="H115" s="15">
        <f>IF(_Dados!AD105="","",MONTH(_Dados!AD105))</f>
        <v/>
      </c>
      <c r="I115" s="15">
        <f>IF(_Dados!AD105="","",YEAR(_Dados!AD105))</f>
        <v/>
      </c>
      <c r="J115" s="15">
        <f>IF(_Dados!AD105="","",WEEKNUM(_Dados!AD105))</f>
        <v/>
      </c>
    </row>
    <row r="116">
      <c r="B116" s="15">
        <f>IFERROR(_Dados!AC106,"")</f>
        <v/>
      </c>
      <c r="C116" s="38">
        <f>IFERROR(_Dados!AD106,"")</f>
        <v/>
      </c>
      <c r="D116" s="15">
        <f>IFERROR(_Dados!AE106,"")</f>
        <v/>
      </c>
      <c r="E116" s="15">
        <f>IFERROR(_Dados!AF106,"")</f>
        <v/>
      </c>
      <c r="F116" s="15">
        <f>IFERROR(_Dados!AG106,"")</f>
        <v/>
      </c>
      <c r="G116" s="15">
        <f>IF(_Dados!AD106="","",DAY(_Dados!AD106))</f>
        <v/>
      </c>
      <c r="H116" s="15">
        <f>IF(_Dados!AD106="","",MONTH(_Dados!AD106))</f>
        <v/>
      </c>
      <c r="I116" s="15">
        <f>IF(_Dados!AD106="","",YEAR(_Dados!AD106))</f>
        <v/>
      </c>
      <c r="J116" s="15">
        <f>IF(_Dados!AD106="","",WEEKNUM(_Dados!AD106))</f>
        <v/>
      </c>
    </row>
    <row r="117">
      <c r="B117" s="15">
        <f>IFERROR(_Dados!AC107,"")</f>
        <v/>
      </c>
      <c r="C117" s="38">
        <f>IFERROR(_Dados!AD107,"")</f>
        <v/>
      </c>
      <c r="D117" s="15">
        <f>IFERROR(_Dados!AE107,"")</f>
        <v/>
      </c>
      <c r="E117" s="15">
        <f>IFERROR(_Dados!AF107,"")</f>
        <v/>
      </c>
      <c r="F117" s="15">
        <f>IFERROR(_Dados!AG107,"")</f>
        <v/>
      </c>
      <c r="G117" s="15">
        <f>IF(_Dados!AD107="","",DAY(_Dados!AD107))</f>
        <v/>
      </c>
      <c r="H117" s="15">
        <f>IF(_Dados!AD107="","",MONTH(_Dados!AD107))</f>
        <v/>
      </c>
      <c r="I117" s="15">
        <f>IF(_Dados!AD107="","",YEAR(_Dados!AD107))</f>
        <v/>
      </c>
      <c r="J117" s="15">
        <f>IF(_Dados!AD107="","",WEEKNUM(_Dados!AD107))</f>
        <v/>
      </c>
    </row>
    <row r="118">
      <c r="B118" s="15">
        <f>IFERROR(_Dados!AC108,"")</f>
        <v/>
      </c>
      <c r="C118" s="38">
        <f>IFERROR(_Dados!AD108,"")</f>
        <v/>
      </c>
      <c r="D118" s="15">
        <f>IFERROR(_Dados!AE108,"")</f>
        <v/>
      </c>
      <c r="E118" s="15">
        <f>IFERROR(_Dados!AF108,"")</f>
        <v/>
      </c>
      <c r="F118" s="15">
        <f>IFERROR(_Dados!AG108,"")</f>
        <v/>
      </c>
      <c r="G118" s="15">
        <f>IF(_Dados!AD108="","",DAY(_Dados!AD108))</f>
        <v/>
      </c>
      <c r="H118" s="15">
        <f>IF(_Dados!AD108="","",MONTH(_Dados!AD108))</f>
        <v/>
      </c>
      <c r="I118" s="15">
        <f>IF(_Dados!AD108="","",YEAR(_Dados!AD108))</f>
        <v/>
      </c>
      <c r="J118" s="15">
        <f>IF(_Dados!AD108="","",WEEKNUM(_Dados!AD108))</f>
        <v/>
      </c>
    </row>
    <row r="119">
      <c r="B119" s="15">
        <f>IFERROR(_Dados!AC109,"")</f>
        <v/>
      </c>
      <c r="C119" s="38">
        <f>IFERROR(_Dados!AD109,"")</f>
        <v/>
      </c>
      <c r="D119" s="15">
        <f>IFERROR(_Dados!AE109,"")</f>
        <v/>
      </c>
      <c r="E119" s="15">
        <f>IFERROR(_Dados!AF109,"")</f>
        <v/>
      </c>
      <c r="F119" s="15">
        <f>IFERROR(_Dados!AG109,"")</f>
        <v/>
      </c>
      <c r="G119" s="15">
        <f>IF(_Dados!AD109="","",DAY(_Dados!AD109))</f>
        <v/>
      </c>
      <c r="H119" s="15">
        <f>IF(_Dados!AD109="","",MONTH(_Dados!AD109))</f>
        <v/>
      </c>
      <c r="I119" s="15">
        <f>IF(_Dados!AD109="","",YEAR(_Dados!AD109))</f>
        <v/>
      </c>
      <c r="J119" s="15">
        <f>IF(_Dados!AD109="","",WEEKNUM(_Dados!AD109))</f>
        <v/>
      </c>
    </row>
    <row r="120">
      <c r="B120" s="15">
        <f>IFERROR(_Dados!AC110,"")</f>
        <v/>
      </c>
      <c r="C120" s="38">
        <f>IFERROR(_Dados!AD110,"")</f>
        <v/>
      </c>
      <c r="D120" s="15">
        <f>IFERROR(_Dados!AE110,"")</f>
        <v/>
      </c>
      <c r="E120" s="15">
        <f>IFERROR(_Dados!AF110,"")</f>
        <v/>
      </c>
      <c r="F120" s="15">
        <f>IFERROR(_Dados!AG110,"")</f>
        <v/>
      </c>
      <c r="G120" s="15">
        <f>IF(_Dados!AD110="","",DAY(_Dados!AD110))</f>
        <v/>
      </c>
      <c r="H120" s="15">
        <f>IF(_Dados!AD110="","",MONTH(_Dados!AD110))</f>
        <v/>
      </c>
      <c r="I120" s="15">
        <f>IF(_Dados!AD110="","",YEAR(_Dados!AD110))</f>
        <v/>
      </c>
      <c r="J120" s="15">
        <f>IF(_Dados!AD110="","",WEEKNUM(_Dados!AD110))</f>
        <v/>
      </c>
    </row>
    <row r="121">
      <c r="B121" s="15">
        <f>IFERROR(_Dados!AC111,"")</f>
        <v/>
      </c>
      <c r="C121" s="38">
        <f>IFERROR(_Dados!AD111,"")</f>
        <v/>
      </c>
      <c r="D121" s="15">
        <f>IFERROR(_Dados!AE111,"")</f>
        <v/>
      </c>
      <c r="E121" s="15">
        <f>IFERROR(_Dados!AF111,"")</f>
        <v/>
      </c>
      <c r="F121" s="15">
        <f>IFERROR(_Dados!AG111,"")</f>
        <v/>
      </c>
      <c r="G121" s="15">
        <f>IF(_Dados!AD111="","",DAY(_Dados!AD111))</f>
        <v/>
      </c>
      <c r="H121" s="15">
        <f>IF(_Dados!AD111="","",MONTH(_Dados!AD111))</f>
        <v/>
      </c>
      <c r="I121" s="15">
        <f>IF(_Dados!AD111="","",YEAR(_Dados!AD111))</f>
        <v/>
      </c>
      <c r="J121" s="15">
        <f>IF(_Dados!AD111="","",WEEKNUM(_Dados!AD111))</f>
        <v/>
      </c>
    </row>
    <row r="122">
      <c r="B122" s="15">
        <f>IFERROR(_Dados!AC112,"")</f>
        <v/>
      </c>
      <c r="C122" s="38">
        <f>IFERROR(_Dados!AD112,"")</f>
        <v/>
      </c>
      <c r="D122" s="15">
        <f>IFERROR(_Dados!AE112,"")</f>
        <v/>
      </c>
      <c r="E122" s="15">
        <f>IFERROR(_Dados!AF112,"")</f>
        <v/>
      </c>
      <c r="F122" s="15">
        <f>IFERROR(_Dados!AG112,"")</f>
        <v/>
      </c>
      <c r="G122" s="15">
        <f>IF(_Dados!AD112="","",DAY(_Dados!AD112))</f>
        <v/>
      </c>
      <c r="H122" s="15">
        <f>IF(_Dados!AD112="","",MONTH(_Dados!AD112))</f>
        <v/>
      </c>
      <c r="I122" s="15">
        <f>IF(_Dados!AD112="","",YEAR(_Dados!AD112))</f>
        <v/>
      </c>
      <c r="J122" s="15">
        <f>IF(_Dados!AD112="","",WEEKNUM(_Dados!AD112))</f>
        <v/>
      </c>
    </row>
    <row r="123">
      <c r="B123" s="15">
        <f>IFERROR(_Dados!AC113,"")</f>
        <v/>
      </c>
      <c r="C123" s="38">
        <f>IFERROR(_Dados!AD113,"")</f>
        <v/>
      </c>
      <c r="D123" s="15">
        <f>IFERROR(_Dados!AE113,"")</f>
        <v/>
      </c>
      <c r="E123" s="15">
        <f>IFERROR(_Dados!AF113,"")</f>
        <v/>
      </c>
      <c r="F123" s="15">
        <f>IFERROR(_Dados!AG113,"")</f>
        <v/>
      </c>
      <c r="G123" s="15">
        <f>IF(_Dados!AD113="","",DAY(_Dados!AD113))</f>
        <v/>
      </c>
      <c r="H123" s="15">
        <f>IF(_Dados!AD113="","",MONTH(_Dados!AD113))</f>
        <v/>
      </c>
      <c r="I123" s="15">
        <f>IF(_Dados!AD113="","",YEAR(_Dados!AD113))</f>
        <v/>
      </c>
      <c r="J123" s="15">
        <f>IF(_Dados!AD113="","",WEEKNUM(_Dados!AD113))</f>
        <v/>
      </c>
    </row>
    <row r="124">
      <c r="B124" s="15">
        <f>IFERROR(_Dados!AC114,"")</f>
        <v/>
      </c>
      <c r="C124" s="38">
        <f>IFERROR(_Dados!AD114,"")</f>
        <v/>
      </c>
      <c r="D124" s="15">
        <f>IFERROR(_Dados!AE114,"")</f>
        <v/>
      </c>
      <c r="E124" s="15">
        <f>IFERROR(_Dados!AF114,"")</f>
        <v/>
      </c>
      <c r="F124" s="15">
        <f>IFERROR(_Dados!AG114,"")</f>
        <v/>
      </c>
      <c r="G124" s="15">
        <f>IF(_Dados!AD114="","",DAY(_Dados!AD114))</f>
        <v/>
      </c>
      <c r="H124" s="15">
        <f>IF(_Dados!AD114="","",MONTH(_Dados!AD114))</f>
        <v/>
      </c>
      <c r="I124" s="15">
        <f>IF(_Dados!AD114="","",YEAR(_Dados!AD114))</f>
        <v/>
      </c>
      <c r="J124" s="15">
        <f>IF(_Dados!AD114="","",WEEKNUM(_Dados!AD114))</f>
        <v/>
      </c>
    </row>
    <row r="125">
      <c r="B125" s="15">
        <f>IFERROR(_Dados!AC115,"")</f>
        <v/>
      </c>
      <c r="C125" s="38">
        <f>IFERROR(_Dados!AD115,"")</f>
        <v/>
      </c>
      <c r="D125" s="15">
        <f>IFERROR(_Dados!AE115,"")</f>
        <v/>
      </c>
      <c r="E125" s="15">
        <f>IFERROR(_Dados!AF115,"")</f>
        <v/>
      </c>
      <c r="F125" s="15">
        <f>IFERROR(_Dados!AG115,"")</f>
        <v/>
      </c>
      <c r="G125" s="15">
        <f>IF(_Dados!AD115="","",DAY(_Dados!AD115))</f>
        <v/>
      </c>
      <c r="H125" s="15">
        <f>IF(_Dados!AD115="","",MONTH(_Dados!AD115))</f>
        <v/>
      </c>
      <c r="I125" s="15">
        <f>IF(_Dados!AD115="","",YEAR(_Dados!AD115))</f>
        <v/>
      </c>
      <c r="J125" s="15">
        <f>IF(_Dados!AD115="","",WEEKNUM(_Dados!AD115))</f>
        <v/>
      </c>
    </row>
    <row r="126">
      <c r="B126" s="15">
        <f>IFERROR(_Dados!AC116,"")</f>
        <v/>
      </c>
      <c r="C126" s="38">
        <f>IFERROR(_Dados!AD116,"")</f>
        <v/>
      </c>
      <c r="D126" s="15">
        <f>IFERROR(_Dados!AE116,"")</f>
        <v/>
      </c>
      <c r="E126" s="15">
        <f>IFERROR(_Dados!AF116,"")</f>
        <v/>
      </c>
      <c r="F126" s="15">
        <f>IFERROR(_Dados!AG116,"")</f>
        <v/>
      </c>
      <c r="G126" s="15">
        <f>IF(_Dados!AD116="","",DAY(_Dados!AD116))</f>
        <v/>
      </c>
      <c r="H126" s="15">
        <f>IF(_Dados!AD116="","",MONTH(_Dados!AD116))</f>
        <v/>
      </c>
      <c r="I126" s="15">
        <f>IF(_Dados!AD116="","",YEAR(_Dados!AD116))</f>
        <v/>
      </c>
      <c r="J126" s="15">
        <f>IF(_Dados!AD116="","",WEEKNUM(_Dados!AD116))</f>
        <v/>
      </c>
    </row>
    <row r="127">
      <c r="B127" s="15">
        <f>IFERROR(_Dados!AC117,"")</f>
        <v/>
      </c>
      <c r="C127" s="38">
        <f>IFERROR(_Dados!AD117,"")</f>
        <v/>
      </c>
      <c r="D127" s="15">
        <f>IFERROR(_Dados!AE117,"")</f>
        <v/>
      </c>
      <c r="E127" s="15">
        <f>IFERROR(_Dados!AF117,"")</f>
        <v/>
      </c>
      <c r="F127" s="15">
        <f>IFERROR(_Dados!AG117,"")</f>
        <v/>
      </c>
      <c r="G127" s="15">
        <f>IF(_Dados!AD117="","",DAY(_Dados!AD117))</f>
        <v/>
      </c>
      <c r="H127" s="15">
        <f>IF(_Dados!AD117="","",MONTH(_Dados!AD117))</f>
        <v/>
      </c>
      <c r="I127" s="15">
        <f>IF(_Dados!AD117="","",YEAR(_Dados!AD117))</f>
        <v/>
      </c>
      <c r="J127" s="15">
        <f>IF(_Dados!AD117="","",WEEKNUM(_Dados!AD117))</f>
        <v/>
      </c>
    </row>
    <row r="128">
      <c r="B128" s="15">
        <f>IFERROR(_Dados!AC118,"")</f>
        <v/>
      </c>
      <c r="C128" s="38">
        <f>IFERROR(_Dados!AD118,"")</f>
        <v/>
      </c>
      <c r="D128" s="15">
        <f>IFERROR(_Dados!AE118,"")</f>
        <v/>
      </c>
      <c r="E128" s="15">
        <f>IFERROR(_Dados!AF118,"")</f>
        <v/>
      </c>
      <c r="F128" s="15">
        <f>IFERROR(_Dados!AG118,"")</f>
        <v/>
      </c>
      <c r="G128" s="15">
        <f>IF(_Dados!AD118="","",DAY(_Dados!AD118))</f>
        <v/>
      </c>
      <c r="H128" s="15">
        <f>IF(_Dados!AD118="","",MONTH(_Dados!AD118))</f>
        <v/>
      </c>
      <c r="I128" s="15">
        <f>IF(_Dados!AD118="","",YEAR(_Dados!AD118))</f>
        <v/>
      </c>
      <c r="J128" s="15">
        <f>IF(_Dados!AD118="","",WEEKNUM(_Dados!AD118))</f>
        <v/>
      </c>
    </row>
    <row r="129">
      <c r="B129" s="15">
        <f>IFERROR(_Dados!AC119,"")</f>
        <v/>
      </c>
      <c r="C129" s="38">
        <f>IFERROR(_Dados!AD119,"")</f>
        <v/>
      </c>
      <c r="D129" s="15">
        <f>IFERROR(_Dados!AE119,"")</f>
        <v/>
      </c>
      <c r="E129" s="15">
        <f>IFERROR(_Dados!AF119,"")</f>
        <v/>
      </c>
      <c r="F129" s="15">
        <f>IFERROR(_Dados!AG119,"")</f>
        <v/>
      </c>
      <c r="G129" s="15">
        <f>IF(_Dados!AD119="","",DAY(_Dados!AD119))</f>
        <v/>
      </c>
      <c r="H129" s="15">
        <f>IF(_Dados!AD119="","",MONTH(_Dados!AD119))</f>
        <v/>
      </c>
      <c r="I129" s="15">
        <f>IF(_Dados!AD119="","",YEAR(_Dados!AD119))</f>
        <v/>
      </c>
      <c r="J129" s="15">
        <f>IF(_Dados!AD119="","",WEEKNUM(_Dados!AD119))</f>
        <v/>
      </c>
    </row>
    <row r="130">
      <c r="B130" s="15">
        <f>IFERROR(_Dados!AC120,"")</f>
        <v/>
      </c>
      <c r="C130" s="38">
        <f>IFERROR(_Dados!AD120,"")</f>
        <v/>
      </c>
      <c r="D130" s="15">
        <f>IFERROR(_Dados!AE120,"")</f>
        <v/>
      </c>
      <c r="E130" s="15">
        <f>IFERROR(_Dados!AF120,"")</f>
        <v/>
      </c>
      <c r="F130" s="15">
        <f>IFERROR(_Dados!AG120,"")</f>
        <v/>
      </c>
      <c r="G130" s="15">
        <f>IF(_Dados!AD120="","",DAY(_Dados!AD120))</f>
        <v/>
      </c>
      <c r="H130" s="15">
        <f>IF(_Dados!AD120="","",MONTH(_Dados!AD120))</f>
        <v/>
      </c>
      <c r="I130" s="15">
        <f>IF(_Dados!AD120="","",YEAR(_Dados!AD120))</f>
        <v/>
      </c>
      <c r="J130" s="15">
        <f>IF(_Dados!AD120="","",WEEKNUM(_Dados!AD120))</f>
        <v/>
      </c>
    </row>
    <row r="131">
      <c r="B131" s="15">
        <f>IFERROR(_Dados!AC121,"")</f>
        <v/>
      </c>
      <c r="C131" s="38">
        <f>IFERROR(_Dados!AD121,"")</f>
        <v/>
      </c>
      <c r="D131" s="15">
        <f>IFERROR(_Dados!AE121,"")</f>
        <v/>
      </c>
      <c r="E131" s="15">
        <f>IFERROR(_Dados!AF121,"")</f>
        <v/>
      </c>
      <c r="F131" s="15">
        <f>IFERROR(_Dados!AG121,"")</f>
        <v/>
      </c>
      <c r="G131" s="15">
        <f>IF(_Dados!AD121="","",DAY(_Dados!AD121))</f>
        <v/>
      </c>
      <c r="H131" s="15">
        <f>IF(_Dados!AD121="","",MONTH(_Dados!AD121))</f>
        <v/>
      </c>
      <c r="I131" s="15">
        <f>IF(_Dados!AD121="","",YEAR(_Dados!AD121))</f>
        <v/>
      </c>
      <c r="J131" s="15">
        <f>IF(_Dados!AD121="","",WEEKNUM(_Dados!AD121))</f>
        <v/>
      </c>
    </row>
    <row r="132">
      <c r="B132" s="15">
        <f>IFERROR(_Dados!AC122,"")</f>
        <v/>
      </c>
      <c r="C132" s="38">
        <f>IFERROR(_Dados!AD122,"")</f>
        <v/>
      </c>
      <c r="D132" s="15">
        <f>IFERROR(_Dados!AE122,"")</f>
        <v/>
      </c>
      <c r="E132" s="15">
        <f>IFERROR(_Dados!AF122,"")</f>
        <v/>
      </c>
      <c r="F132" s="15">
        <f>IFERROR(_Dados!AG122,"")</f>
        <v/>
      </c>
      <c r="G132" s="15">
        <f>IF(_Dados!AD122="","",DAY(_Dados!AD122))</f>
        <v/>
      </c>
      <c r="H132" s="15">
        <f>IF(_Dados!AD122="","",MONTH(_Dados!AD122))</f>
        <v/>
      </c>
      <c r="I132" s="15">
        <f>IF(_Dados!AD122="","",YEAR(_Dados!AD122))</f>
        <v/>
      </c>
      <c r="J132" s="15">
        <f>IF(_Dados!AD122="","",WEEKNUM(_Dados!AD122))</f>
        <v/>
      </c>
    </row>
    <row r="133">
      <c r="B133" s="15">
        <f>IFERROR(_Dados!AC123,"")</f>
        <v/>
      </c>
      <c r="C133" s="38">
        <f>IFERROR(_Dados!AD123,"")</f>
        <v/>
      </c>
      <c r="D133" s="15">
        <f>IFERROR(_Dados!AE123,"")</f>
        <v/>
      </c>
      <c r="E133" s="15">
        <f>IFERROR(_Dados!AF123,"")</f>
        <v/>
      </c>
      <c r="F133" s="15">
        <f>IFERROR(_Dados!AG123,"")</f>
        <v/>
      </c>
      <c r="G133" s="15">
        <f>IF(_Dados!AD123="","",DAY(_Dados!AD123))</f>
        <v/>
      </c>
      <c r="H133" s="15">
        <f>IF(_Dados!AD123="","",MONTH(_Dados!AD123))</f>
        <v/>
      </c>
      <c r="I133" s="15">
        <f>IF(_Dados!AD123="","",YEAR(_Dados!AD123))</f>
        <v/>
      </c>
      <c r="J133" s="15">
        <f>IF(_Dados!AD123="","",WEEKNUM(_Dados!AD123))</f>
        <v/>
      </c>
    </row>
    <row r="134">
      <c r="B134" s="15">
        <f>IFERROR(_Dados!AC124,"")</f>
        <v/>
      </c>
      <c r="C134" s="38">
        <f>IFERROR(_Dados!AD124,"")</f>
        <v/>
      </c>
      <c r="D134" s="15">
        <f>IFERROR(_Dados!AE124,"")</f>
        <v/>
      </c>
      <c r="E134" s="15">
        <f>IFERROR(_Dados!AF124,"")</f>
        <v/>
      </c>
      <c r="F134" s="15">
        <f>IFERROR(_Dados!AG124,"")</f>
        <v/>
      </c>
      <c r="G134" s="15">
        <f>IF(_Dados!AD124="","",DAY(_Dados!AD124))</f>
        <v/>
      </c>
      <c r="H134" s="15">
        <f>IF(_Dados!AD124="","",MONTH(_Dados!AD124))</f>
        <v/>
      </c>
      <c r="I134" s="15">
        <f>IF(_Dados!AD124="","",YEAR(_Dados!AD124))</f>
        <v/>
      </c>
      <c r="J134" s="15">
        <f>IF(_Dados!AD124="","",WEEKNUM(_Dados!AD124))</f>
        <v/>
      </c>
    </row>
    <row r="135">
      <c r="B135" s="15">
        <f>IFERROR(_Dados!AC125,"")</f>
        <v/>
      </c>
      <c r="C135" s="38">
        <f>IFERROR(_Dados!AD125,"")</f>
        <v/>
      </c>
      <c r="D135" s="15">
        <f>IFERROR(_Dados!AE125,"")</f>
        <v/>
      </c>
      <c r="E135" s="15">
        <f>IFERROR(_Dados!AF125,"")</f>
        <v/>
      </c>
      <c r="F135" s="15">
        <f>IFERROR(_Dados!AG125,"")</f>
        <v/>
      </c>
      <c r="G135" s="15">
        <f>IF(_Dados!AD125="","",DAY(_Dados!AD125))</f>
        <v/>
      </c>
      <c r="H135" s="15">
        <f>IF(_Dados!AD125="","",MONTH(_Dados!AD125))</f>
        <v/>
      </c>
      <c r="I135" s="15">
        <f>IF(_Dados!AD125="","",YEAR(_Dados!AD125))</f>
        <v/>
      </c>
      <c r="J135" s="15">
        <f>IF(_Dados!AD125="","",WEEKNUM(_Dados!AD125))</f>
        <v/>
      </c>
    </row>
    <row r="136">
      <c r="B136" s="15">
        <f>IFERROR(_Dados!AC126,"")</f>
        <v/>
      </c>
      <c r="C136" s="38">
        <f>IFERROR(_Dados!AD126,"")</f>
        <v/>
      </c>
      <c r="D136" s="15">
        <f>IFERROR(_Dados!AE126,"")</f>
        <v/>
      </c>
      <c r="E136" s="15">
        <f>IFERROR(_Dados!AF126,"")</f>
        <v/>
      </c>
      <c r="F136" s="15">
        <f>IFERROR(_Dados!AG126,"")</f>
        <v/>
      </c>
      <c r="G136" s="15">
        <f>IF(_Dados!AD126="","",DAY(_Dados!AD126))</f>
        <v/>
      </c>
      <c r="H136" s="15">
        <f>IF(_Dados!AD126="","",MONTH(_Dados!AD126))</f>
        <v/>
      </c>
      <c r="I136" s="15">
        <f>IF(_Dados!AD126="","",YEAR(_Dados!AD126))</f>
        <v/>
      </c>
      <c r="J136" s="15">
        <f>IF(_Dados!AD126="","",WEEKNUM(_Dados!AD126))</f>
        <v/>
      </c>
    </row>
    <row r="137">
      <c r="B137" s="15">
        <f>IFERROR(_Dados!AC127,"")</f>
        <v/>
      </c>
      <c r="C137" s="38">
        <f>IFERROR(_Dados!AD127,"")</f>
        <v/>
      </c>
      <c r="D137" s="15">
        <f>IFERROR(_Dados!AE127,"")</f>
        <v/>
      </c>
      <c r="E137" s="15">
        <f>IFERROR(_Dados!AF127,"")</f>
        <v/>
      </c>
      <c r="F137" s="15">
        <f>IFERROR(_Dados!AG127,"")</f>
        <v/>
      </c>
      <c r="G137" s="15">
        <f>IF(_Dados!AD127="","",DAY(_Dados!AD127))</f>
        <v/>
      </c>
      <c r="H137" s="15">
        <f>IF(_Dados!AD127="","",MONTH(_Dados!AD127))</f>
        <v/>
      </c>
      <c r="I137" s="15">
        <f>IF(_Dados!AD127="","",YEAR(_Dados!AD127))</f>
        <v/>
      </c>
      <c r="J137" s="15">
        <f>IF(_Dados!AD127="","",WEEKNUM(_Dados!AD127))</f>
        <v/>
      </c>
    </row>
    <row r="138">
      <c r="B138" s="15">
        <f>IFERROR(_Dados!AC128,"")</f>
        <v/>
      </c>
      <c r="C138" s="38">
        <f>IFERROR(_Dados!AD128,"")</f>
        <v/>
      </c>
      <c r="D138" s="15">
        <f>IFERROR(_Dados!AE128,"")</f>
        <v/>
      </c>
      <c r="E138" s="15">
        <f>IFERROR(_Dados!AF128,"")</f>
        <v/>
      </c>
      <c r="F138" s="15">
        <f>IFERROR(_Dados!AG128,"")</f>
        <v/>
      </c>
      <c r="G138" s="15">
        <f>IF(_Dados!AD128="","",DAY(_Dados!AD128))</f>
        <v/>
      </c>
      <c r="H138" s="15">
        <f>IF(_Dados!AD128="","",MONTH(_Dados!AD128))</f>
        <v/>
      </c>
      <c r="I138" s="15">
        <f>IF(_Dados!AD128="","",YEAR(_Dados!AD128))</f>
        <v/>
      </c>
      <c r="J138" s="15">
        <f>IF(_Dados!AD128="","",WEEKNUM(_Dados!AD128))</f>
        <v/>
      </c>
    </row>
    <row r="139">
      <c r="B139" s="15">
        <f>IFERROR(_Dados!AC129,"")</f>
        <v/>
      </c>
      <c r="C139" s="38">
        <f>IFERROR(_Dados!AD129,"")</f>
        <v/>
      </c>
      <c r="D139" s="15">
        <f>IFERROR(_Dados!AE129,"")</f>
        <v/>
      </c>
      <c r="E139" s="15">
        <f>IFERROR(_Dados!AF129,"")</f>
        <v/>
      </c>
      <c r="F139" s="15">
        <f>IFERROR(_Dados!AG129,"")</f>
        <v/>
      </c>
      <c r="G139" s="15">
        <f>IF(_Dados!AD129="","",DAY(_Dados!AD129))</f>
        <v/>
      </c>
      <c r="H139" s="15">
        <f>IF(_Dados!AD129="","",MONTH(_Dados!AD129))</f>
        <v/>
      </c>
      <c r="I139" s="15">
        <f>IF(_Dados!AD129="","",YEAR(_Dados!AD129))</f>
        <v/>
      </c>
      <c r="J139" s="15">
        <f>IF(_Dados!AD129="","",WEEKNUM(_Dados!AD129))</f>
        <v/>
      </c>
    </row>
    <row r="140">
      <c r="B140" s="15">
        <f>IFERROR(_Dados!AC130,"")</f>
        <v/>
      </c>
      <c r="C140" s="38">
        <f>IFERROR(_Dados!AD130,"")</f>
        <v/>
      </c>
      <c r="D140" s="15">
        <f>IFERROR(_Dados!AE130,"")</f>
        <v/>
      </c>
      <c r="E140" s="15">
        <f>IFERROR(_Dados!AF130,"")</f>
        <v/>
      </c>
      <c r="F140" s="15">
        <f>IFERROR(_Dados!AG130,"")</f>
        <v/>
      </c>
      <c r="G140" s="15">
        <f>IF(_Dados!AD130="","",DAY(_Dados!AD130))</f>
        <v/>
      </c>
      <c r="H140" s="15">
        <f>IF(_Dados!AD130="","",MONTH(_Dados!AD130))</f>
        <v/>
      </c>
      <c r="I140" s="15">
        <f>IF(_Dados!AD130="","",YEAR(_Dados!AD130))</f>
        <v/>
      </c>
      <c r="J140" s="15">
        <f>IF(_Dados!AD130="","",WEEKNUM(_Dados!AD130))</f>
        <v/>
      </c>
    </row>
    <row r="141">
      <c r="B141" s="15">
        <f>IFERROR(_Dados!AC131,"")</f>
        <v/>
      </c>
      <c r="C141" s="38">
        <f>IFERROR(_Dados!AD131,"")</f>
        <v/>
      </c>
      <c r="D141" s="15">
        <f>IFERROR(_Dados!AE131,"")</f>
        <v/>
      </c>
      <c r="E141" s="15">
        <f>IFERROR(_Dados!AF131,"")</f>
        <v/>
      </c>
      <c r="F141" s="15">
        <f>IFERROR(_Dados!AG131,"")</f>
        <v/>
      </c>
      <c r="G141" s="15">
        <f>IF(_Dados!AD131="","",DAY(_Dados!AD131))</f>
        <v/>
      </c>
      <c r="H141" s="15">
        <f>IF(_Dados!AD131="","",MONTH(_Dados!AD131))</f>
        <v/>
      </c>
      <c r="I141" s="15">
        <f>IF(_Dados!AD131="","",YEAR(_Dados!AD131))</f>
        <v/>
      </c>
      <c r="J141" s="15">
        <f>IF(_Dados!AD131="","",WEEKNUM(_Dados!AD131))</f>
        <v/>
      </c>
    </row>
    <row r="142">
      <c r="B142" s="15">
        <f>IFERROR(_Dados!AC132,"")</f>
        <v/>
      </c>
      <c r="C142" s="38">
        <f>IFERROR(_Dados!AD132,"")</f>
        <v/>
      </c>
      <c r="D142" s="15">
        <f>IFERROR(_Dados!AE132,"")</f>
        <v/>
      </c>
      <c r="E142" s="15">
        <f>IFERROR(_Dados!AF132,"")</f>
        <v/>
      </c>
      <c r="F142" s="15">
        <f>IFERROR(_Dados!AG132,"")</f>
        <v/>
      </c>
      <c r="G142" s="15">
        <f>IF(_Dados!AD132="","",DAY(_Dados!AD132))</f>
        <v/>
      </c>
      <c r="H142" s="15">
        <f>IF(_Dados!AD132="","",MONTH(_Dados!AD132))</f>
        <v/>
      </c>
      <c r="I142" s="15">
        <f>IF(_Dados!AD132="","",YEAR(_Dados!AD132))</f>
        <v/>
      </c>
      <c r="J142" s="15">
        <f>IF(_Dados!AD132="","",WEEKNUM(_Dados!AD132))</f>
        <v/>
      </c>
    </row>
    <row r="143">
      <c r="B143" s="15">
        <f>IFERROR(_Dados!AC133,"")</f>
        <v/>
      </c>
      <c r="C143" s="38">
        <f>IFERROR(_Dados!AD133,"")</f>
        <v/>
      </c>
      <c r="D143" s="15">
        <f>IFERROR(_Dados!AE133,"")</f>
        <v/>
      </c>
      <c r="E143" s="15">
        <f>IFERROR(_Dados!AF133,"")</f>
        <v/>
      </c>
      <c r="F143" s="15">
        <f>IFERROR(_Dados!AG133,"")</f>
        <v/>
      </c>
      <c r="G143" s="15">
        <f>IF(_Dados!AD133="","",DAY(_Dados!AD133))</f>
        <v/>
      </c>
      <c r="H143" s="15">
        <f>IF(_Dados!AD133="","",MONTH(_Dados!AD133))</f>
        <v/>
      </c>
      <c r="I143" s="15">
        <f>IF(_Dados!AD133="","",YEAR(_Dados!AD133))</f>
        <v/>
      </c>
      <c r="J143" s="15">
        <f>IF(_Dados!AD133="","",WEEKNUM(_Dados!AD133))</f>
        <v/>
      </c>
    </row>
    <row r="144">
      <c r="B144" s="15">
        <f>IFERROR(_Dados!AC134,"")</f>
        <v/>
      </c>
      <c r="C144" s="38">
        <f>IFERROR(_Dados!AD134,"")</f>
        <v/>
      </c>
      <c r="D144" s="15">
        <f>IFERROR(_Dados!AE134,"")</f>
        <v/>
      </c>
      <c r="E144" s="15">
        <f>IFERROR(_Dados!AF134,"")</f>
        <v/>
      </c>
      <c r="F144" s="15">
        <f>IFERROR(_Dados!AG134,"")</f>
        <v/>
      </c>
      <c r="G144" s="15">
        <f>IF(_Dados!AD134="","",DAY(_Dados!AD134))</f>
        <v/>
      </c>
      <c r="H144" s="15">
        <f>IF(_Dados!AD134="","",MONTH(_Dados!AD134))</f>
        <v/>
      </c>
      <c r="I144" s="15">
        <f>IF(_Dados!AD134="","",YEAR(_Dados!AD134))</f>
        <v/>
      </c>
      <c r="J144" s="15">
        <f>IF(_Dados!AD134="","",WEEKNUM(_Dados!AD134))</f>
        <v/>
      </c>
    </row>
    <row r="145">
      <c r="B145" s="15">
        <f>IFERROR(_Dados!AC135,"")</f>
        <v/>
      </c>
      <c r="C145" s="38">
        <f>IFERROR(_Dados!AD135,"")</f>
        <v/>
      </c>
      <c r="D145" s="15">
        <f>IFERROR(_Dados!AE135,"")</f>
        <v/>
      </c>
      <c r="E145" s="15">
        <f>IFERROR(_Dados!AF135,"")</f>
        <v/>
      </c>
      <c r="F145" s="15">
        <f>IFERROR(_Dados!AG135,"")</f>
        <v/>
      </c>
      <c r="G145" s="15">
        <f>IF(_Dados!AD135="","",DAY(_Dados!AD135))</f>
        <v/>
      </c>
      <c r="H145" s="15">
        <f>IF(_Dados!AD135="","",MONTH(_Dados!AD135))</f>
        <v/>
      </c>
      <c r="I145" s="15">
        <f>IF(_Dados!AD135="","",YEAR(_Dados!AD135))</f>
        <v/>
      </c>
      <c r="J145" s="15">
        <f>IF(_Dados!AD135="","",WEEKNUM(_Dados!AD135))</f>
        <v/>
      </c>
    </row>
    <row r="146">
      <c r="B146" s="15">
        <f>IFERROR(_Dados!AC136,"")</f>
        <v/>
      </c>
      <c r="C146" s="38">
        <f>IFERROR(_Dados!AD136,"")</f>
        <v/>
      </c>
      <c r="D146" s="15">
        <f>IFERROR(_Dados!AE136,"")</f>
        <v/>
      </c>
      <c r="E146" s="15">
        <f>IFERROR(_Dados!AF136,"")</f>
        <v/>
      </c>
      <c r="F146" s="15">
        <f>IFERROR(_Dados!AG136,"")</f>
        <v/>
      </c>
      <c r="G146" s="15">
        <f>IF(_Dados!AD136="","",DAY(_Dados!AD136))</f>
        <v/>
      </c>
      <c r="H146" s="15">
        <f>IF(_Dados!AD136="","",MONTH(_Dados!AD136))</f>
        <v/>
      </c>
      <c r="I146" s="15">
        <f>IF(_Dados!AD136="","",YEAR(_Dados!AD136))</f>
        <v/>
      </c>
      <c r="J146" s="15">
        <f>IF(_Dados!AD136="","",WEEKNUM(_Dados!AD136))</f>
        <v/>
      </c>
    </row>
    <row r="147">
      <c r="B147" s="15">
        <f>IFERROR(_Dados!AC137,"")</f>
        <v/>
      </c>
      <c r="C147" s="38">
        <f>IFERROR(_Dados!AD137,"")</f>
        <v/>
      </c>
      <c r="D147" s="15">
        <f>IFERROR(_Dados!AE137,"")</f>
        <v/>
      </c>
      <c r="E147" s="15">
        <f>IFERROR(_Dados!AF137,"")</f>
        <v/>
      </c>
      <c r="F147" s="15">
        <f>IFERROR(_Dados!AG137,"")</f>
        <v/>
      </c>
      <c r="G147" s="15">
        <f>IF(_Dados!AD137="","",DAY(_Dados!AD137))</f>
        <v/>
      </c>
      <c r="H147" s="15">
        <f>IF(_Dados!AD137="","",MONTH(_Dados!AD137))</f>
        <v/>
      </c>
      <c r="I147" s="15">
        <f>IF(_Dados!AD137="","",YEAR(_Dados!AD137))</f>
        <v/>
      </c>
      <c r="J147" s="15">
        <f>IF(_Dados!AD137="","",WEEKNUM(_Dados!AD137))</f>
        <v/>
      </c>
    </row>
    <row r="148">
      <c r="B148" s="15">
        <f>IFERROR(_Dados!AC138,"")</f>
        <v/>
      </c>
      <c r="C148" s="38">
        <f>IFERROR(_Dados!AD138,"")</f>
        <v/>
      </c>
      <c r="D148" s="15">
        <f>IFERROR(_Dados!AE138,"")</f>
        <v/>
      </c>
      <c r="E148" s="15">
        <f>IFERROR(_Dados!AF138,"")</f>
        <v/>
      </c>
      <c r="F148" s="15">
        <f>IFERROR(_Dados!AG138,"")</f>
        <v/>
      </c>
      <c r="G148" s="15">
        <f>IF(_Dados!AD138="","",DAY(_Dados!AD138))</f>
        <v/>
      </c>
      <c r="H148" s="15">
        <f>IF(_Dados!AD138="","",MONTH(_Dados!AD138))</f>
        <v/>
      </c>
      <c r="I148" s="15">
        <f>IF(_Dados!AD138="","",YEAR(_Dados!AD138))</f>
        <v/>
      </c>
      <c r="J148" s="15">
        <f>IF(_Dados!AD138="","",WEEKNUM(_Dados!AD138))</f>
        <v/>
      </c>
    </row>
    <row r="149">
      <c r="B149" s="15">
        <f>IFERROR(_Dados!AC139,"")</f>
        <v/>
      </c>
      <c r="C149" s="38">
        <f>IFERROR(_Dados!AD139,"")</f>
        <v/>
      </c>
      <c r="D149" s="15">
        <f>IFERROR(_Dados!AE139,"")</f>
        <v/>
      </c>
      <c r="E149" s="15">
        <f>IFERROR(_Dados!AF139,"")</f>
        <v/>
      </c>
      <c r="F149" s="15">
        <f>IFERROR(_Dados!AG139,"")</f>
        <v/>
      </c>
      <c r="G149" s="15">
        <f>IF(_Dados!AD139="","",DAY(_Dados!AD139))</f>
        <v/>
      </c>
      <c r="H149" s="15">
        <f>IF(_Dados!AD139="","",MONTH(_Dados!AD139))</f>
        <v/>
      </c>
      <c r="I149" s="15">
        <f>IF(_Dados!AD139="","",YEAR(_Dados!AD139))</f>
        <v/>
      </c>
      <c r="J149" s="15">
        <f>IF(_Dados!AD139="","",WEEKNUM(_Dados!AD139))</f>
        <v/>
      </c>
    </row>
    <row r="150">
      <c r="B150" s="15">
        <f>IFERROR(_Dados!AC140,"")</f>
        <v/>
      </c>
      <c r="C150" s="38">
        <f>IFERROR(_Dados!AD140,"")</f>
        <v/>
      </c>
      <c r="D150" s="15">
        <f>IFERROR(_Dados!AE140,"")</f>
        <v/>
      </c>
      <c r="E150" s="15">
        <f>IFERROR(_Dados!AF140,"")</f>
        <v/>
      </c>
      <c r="F150" s="15">
        <f>IFERROR(_Dados!AG140,"")</f>
        <v/>
      </c>
      <c r="G150" s="15">
        <f>IF(_Dados!AD140="","",DAY(_Dados!AD140))</f>
        <v/>
      </c>
      <c r="H150" s="15">
        <f>IF(_Dados!AD140="","",MONTH(_Dados!AD140))</f>
        <v/>
      </c>
      <c r="I150" s="15">
        <f>IF(_Dados!AD140="","",YEAR(_Dados!AD140))</f>
        <v/>
      </c>
      <c r="J150" s="15">
        <f>IF(_Dados!AD140="","",WEEKNUM(_Dados!AD140))</f>
        <v/>
      </c>
    </row>
    <row r="151">
      <c r="B151" s="15">
        <f>IFERROR(_Dados!AC141,"")</f>
        <v/>
      </c>
      <c r="C151" s="38">
        <f>IFERROR(_Dados!AD141,"")</f>
        <v/>
      </c>
      <c r="D151" s="15">
        <f>IFERROR(_Dados!AE141,"")</f>
        <v/>
      </c>
      <c r="E151" s="15">
        <f>IFERROR(_Dados!AF141,"")</f>
        <v/>
      </c>
      <c r="F151" s="15">
        <f>IFERROR(_Dados!AG141,"")</f>
        <v/>
      </c>
      <c r="G151" s="15">
        <f>IF(_Dados!AD141="","",DAY(_Dados!AD141))</f>
        <v/>
      </c>
      <c r="H151" s="15">
        <f>IF(_Dados!AD141="","",MONTH(_Dados!AD141))</f>
        <v/>
      </c>
      <c r="I151" s="15">
        <f>IF(_Dados!AD141="","",YEAR(_Dados!AD141))</f>
        <v/>
      </c>
      <c r="J151" s="15">
        <f>IF(_Dados!AD141="","",WEEKNUM(_Dados!AD141))</f>
        <v/>
      </c>
    </row>
    <row r="152">
      <c r="B152" s="15">
        <f>IFERROR(_Dados!AC142,"")</f>
        <v/>
      </c>
      <c r="C152" s="38">
        <f>IFERROR(_Dados!AD142,"")</f>
        <v/>
      </c>
      <c r="D152" s="15">
        <f>IFERROR(_Dados!AE142,"")</f>
        <v/>
      </c>
      <c r="E152" s="15">
        <f>IFERROR(_Dados!AF142,"")</f>
        <v/>
      </c>
      <c r="F152" s="15">
        <f>IFERROR(_Dados!AG142,"")</f>
        <v/>
      </c>
      <c r="G152" s="15">
        <f>IF(_Dados!AD142="","",DAY(_Dados!AD142))</f>
        <v/>
      </c>
      <c r="H152" s="15">
        <f>IF(_Dados!AD142="","",MONTH(_Dados!AD142))</f>
        <v/>
      </c>
      <c r="I152" s="15">
        <f>IF(_Dados!AD142="","",YEAR(_Dados!AD142))</f>
        <v/>
      </c>
      <c r="J152" s="15">
        <f>IF(_Dados!AD142="","",WEEKNUM(_Dados!AD142))</f>
        <v/>
      </c>
    </row>
    <row r="153">
      <c r="B153" s="15">
        <f>IFERROR(_Dados!AC143,"")</f>
        <v/>
      </c>
      <c r="C153" s="38">
        <f>IFERROR(_Dados!AD143,"")</f>
        <v/>
      </c>
      <c r="D153" s="15">
        <f>IFERROR(_Dados!AE143,"")</f>
        <v/>
      </c>
      <c r="E153" s="15">
        <f>IFERROR(_Dados!AF143,"")</f>
        <v/>
      </c>
      <c r="F153" s="15">
        <f>IFERROR(_Dados!AG143,"")</f>
        <v/>
      </c>
      <c r="G153" s="15">
        <f>IF(_Dados!AD143="","",DAY(_Dados!AD143))</f>
        <v/>
      </c>
      <c r="H153" s="15">
        <f>IF(_Dados!AD143="","",MONTH(_Dados!AD143))</f>
        <v/>
      </c>
      <c r="I153" s="15">
        <f>IF(_Dados!AD143="","",YEAR(_Dados!AD143))</f>
        <v/>
      </c>
      <c r="J153" s="15">
        <f>IF(_Dados!AD143="","",WEEKNUM(_Dados!AD143))</f>
        <v/>
      </c>
    </row>
    <row r="154">
      <c r="B154" s="15">
        <f>IFERROR(_Dados!AC144,"")</f>
        <v/>
      </c>
      <c r="C154" s="38">
        <f>IFERROR(_Dados!AD144,"")</f>
        <v/>
      </c>
      <c r="D154" s="15">
        <f>IFERROR(_Dados!AE144,"")</f>
        <v/>
      </c>
      <c r="E154" s="15">
        <f>IFERROR(_Dados!AF144,"")</f>
        <v/>
      </c>
      <c r="F154" s="15">
        <f>IFERROR(_Dados!AG144,"")</f>
        <v/>
      </c>
      <c r="G154" s="15">
        <f>IF(_Dados!AD144="","",DAY(_Dados!AD144))</f>
        <v/>
      </c>
      <c r="H154" s="15">
        <f>IF(_Dados!AD144="","",MONTH(_Dados!AD144))</f>
        <v/>
      </c>
      <c r="I154" s="15">
        <f>IF(_Dados!AD144="","",YEAR(_Dados!AD144))</f>
        <v/>
      </c>
      <c r="J154" s="15">
        <f>IF(_Dados!AD144="","",WEEKNUM(_Dados!AD144))</f>
        <v/>
      </c>
    </row>
    <row r="155">
      <c r="B155" s="15">
        <f>IFERROR(_Dados!AC145,"")</f>
        <v/>
      </c>
      <c r="C155" s="38">
        <f>IFERROR(_Dados!AD145,"")</f>
        <v/>
      </c>
      <c r="D155" s="15">
        <f>IFERROR(_Dados!AE145,"")</f>
        <v/>
      </c>
      <c r="E155" s="15">
        <f>IFERROR(_Dados!AF145,"")</f>
        <v/>
      </c>
      <c r="F155" s="15">
        <f>IFERROR(_Dados!AG145,"")</f>
        <v/>
      </c>
      <c r="G155" s="15">
        <f>IF(_Dados!AD145="","",DAY(_Dados!AD145))</f>
        <v/>
      </c>
      <c r="H155" s="15">
        <f>IF(_Dados!AD145="","",MONTH(_Dados!AD145))</f>
        <v/>
      </c>
      <c r="I155" s="15">
        <f>IF(_Dados!AD145="","",YEAR(_Dados!AD145))</f>
        <v/>
      </c>
      <c r="J155" s="15">
        <f>IF(_Dados!AD145="","",WEEKNUM(_Dados!AD145))</f>
        <v/>
      </c>
    </row>
    <row r="156">
      <c r="B156" s="15">
        <f>IFERROR(_Dados!AC146,"")</f>
        <v/>
      </c>
      <c r="C156" s="38">
        <f>IFERROR(_Dados!AD146,"")</f>
        <v/>
      </c>
      <c r="D156" s="15">
        <f>IFERROR(_Dados!AE146,"")</f>
        <v/>
      </c>
      <c r="E156" s="15">
        <f>IFERROR(_Dados!AF146,"")</f>
        <v/>
      </c>
      <c r="F156" s="15">
        <f>IFERROR(_Dados!AG146,"")</f>
        <v/>
      </c>
      <c r="G156" s="15">
        <f>IF(_Dados!AD146="","",DAY(_Dados!AD146))</f>
        <v/>
      </c>
      <c r="H156" s="15">
        <f>IF(_Dados!AD146="","",MONTH(_Dados!AD146))</f>
        <v/>
      </c>
      <c r="I156" s="15">
        <f>IF(_Dados!AD146="","",YEAR(_Dados!AD146))</f>
        <v/>
      </c>
      <c r="J156" s="15">
        <f>IF(_Dados!AD146="","",WEEKNUM(_Dados!AD146))</f>
        <v/>
      </c>
    </row>
    <row r="157">
      <c r="B157" s="15">
        <f>IFERROR(_Dados!AC147,"")</f>
        <v/>
      </c>
      <c r="C157" s="38">
        <f>IFERROR(_Dados!AD147,"")</f>
        <v/>
      </c>
      <c r="D157" s="15">
        <f>IFERROR(_Dados!AE147,"")</f>
        <v/>
      </c>
      <c r="E157" s="15">
        <f>IFERROR(_Dados!AF147,"")</f>
        <v/>
      </c>
      <c r="F157" s="15">
        <f>IFERROR(_Dados!AG147,"")</f>
        <v/>
      </c>
      <c r="G157" s="15">
        <f>IF(_Dados!AD147="","",DAY(_Dados!AD147))</f>
        <v/>
      </c>
      <c r="H157" s="15">
        <f>IF(_Dados!AD147="","",MONTH(_Dados!AD147))</f>
        <v/>
      </c>
      <c r="I157" s="15">
        <f>IF(_Dados!AD147="","",YEAR(_Dados!AD147))</f>
        <v/>
      </c>
      <c r="J157" s="15">
        <f>IF(_Dados!AD147="","",WEEKNUM(_Dados!AD147))</f>
        <v/>
      </c>
    </row>
    <row r="158">
      <c r="B158" s="15">
        <f>IFERROR(_Dados!AC148,"")</f>
        <v/>
      </c>
      <c r="C158" s="38">
        <f>IFERROR(_Dados!AD148,"")</f>
        <v/>
      </c>
      <c r="D158" s="15">
        <f>IFERROR(_Dados!AE148,"")</f>
        <v/>
      </c>
      <c r="E158" s="15">
        <f>IFERROR(_Dados!AF148,"")</f>
        <v/>
      </c>
      <c r="F158" s="15">
        <f>IFERROR(_Dados!AG148,"")</f>
        <v/>
      </c>
      <c r="G158" s="15">
        <f>IF(_Dados!AD148="","",DAY(_Dados!AD148))</f>
        <v/>
      </c>
      <c r="H158" s="15">
        <f>IF(_Dados!AD148="","",MONTH(_Dados!AD148))</f>
        <v/>
      </c>
      <c r="I158" s="15">
        <f>IF(_Dados!AD148="","",YEAR(_Dados!AD148))</f>
        <v/>
      </c>
      <c r="J158" s="15">
        <f>IF(_Dados!AD148="","",WEEKNUM(_Dados!AD148))</f>
        <v/>
      </c>
    </row>
    <row r="159">
      <c r="B159" s="15">
        <f>IFERROR(_Dados!AC149,"")</f>
        <v/>
      </c>
      <c r="C159" s="38">
        <f>IFERROR(_Dados!AD149,"")</f>
        <v/>
      </c>
      <c r="D159" s="15">
        <f>IFERROR(_Dados!AE149,"")</f>
        <v/>
      </c>
      <c r="E159" s="15">
        <f>IFERROR(_Dados!AF149,"")</f>
        <v/>
      </c>
      <c r="F159" s="15">
        <f>IFERROR(_Dados!AG149,"")</f>
        <v/>
      </c>
      <c r="G159" s="15">
        <f>IF(_Dados!AD149="","",DAY(_Dados!AD149))</f>
        <v/>
      </c>
      <c r="H159" s="15">
        <f>IF(_Dados!AD149="","",MONTH(_Dados!AD149))</f>
        <v/>
      </c>
      <c r="I159" s="15">
        <f>IF(_Dados!AD149="","",YEAR(_Dados!AD149))</f>
        <v/>
      </c>
      <c r="J159" s="15">
        <f>IF(_Dados!AD149="","",WEEKNUM(_Dados!AD149))</f>
        <v/>
      </c>
    </row>
    <row r="160">
      <c r="B160" s="15">
        <f>IFERROR(_Dados!AC150,"")</f>
        <v/>
      </c>
      <c r="C160" s="38">
        <f>IFERROR(_Dados!AD150,"")</f>
        <v/>
      </c>
      <c r="D160" s="15">
        <f>IFERROR(_Dados!AE150,"")</f>
        <v/>
      </c>
      <c r="E160" s="15">
        <f>IFERROR(_Dados!AF150,"")</f>
        <v/>
      </c>
      <c r="F160" s="15">
        <f>IFERROR(_Dados!AG150,"")</f>
        <v/>
      </c>
      <c r="G160" s="15">
        <f>IF(_Dados!AD150="","",DAY(_Dados!AD150))</f>
        <v/>
      </c>
      <c r="H160" s="15">
        <f>IF(_Dados!AD150="","",MONTH(_Dados!AD150))</f>
        <v/>
      </c>
      <c r="I160" s="15">
        <f>IF(_Dados!AD150="","",YEAR(_Dados!AD150))</f>
        <v/>
      </c>
      <c r="J160" s="15">
        <f>IF(_Dados!AD150="","",WEEKNUM(_Dados!AD150))</f>
        <v/>
      </c>
    </row>
    <row r="161">
      <c r="B161" s="15">
        <f>IFERROR(_Dados!AC151,"")</f>
        <v/>
      </c>
      <c r="C161" s="38">
        <f>IFERROR(_Dados!AD151,"")</f>
        <v/>
      </c>
      <c r="D161" s="15">
        <f>IFERROR(_Dados!AE151,"")</f>
        <v/>
      </c>
      <c r="E161" s="15">
        <f>IFERROR(_Dados!AF151,"")</f>
        <v/>
      </c>
      <c r="F161" s="15">
        <f>IFERROR(_Dados!AG151,"")</f>
        <v/>
      </c>
      <c r="G161" s="15">
        <f>IF(_Dados!AD151="","",DAY(_Dados!AD151))</f>
        <v/>
      </c>
      <c r="H161" s="15">
        <f>IF(_Dados!AD151="","",MONTH(_Dados!AD151))</f>
        <v/>
      </c>
      <c r="I161" s="15">
        <f>IF(_Dados!AD151="","",YEAR(_Dados!AD151))</f>
        <v/>
      </c>
      <c r="J161" s="15">
        <f>IF(_Dados!AD151="","",WEEKNUM(_Dados!AD151))</f>
        <v/>
      </c>
    </row>
  </sheetData>
  <mergeCells count="4">
    <mergeCell ref="C7:I7"/>
    <mergeCell ref="B9:J9"/>
    <mergeCell ref="J4:J5"/>
    <mergeCell ref="B2:J2"/>
  </mergeCells>
  <conditionalFormatting sqref="B12:J161">
    <cfRule type="expression" priority="1" dxfId="0">
      <formula>=AND(MOD(ROW(),2)=0,$B12&lt;&gt;"")</formula>
    </cfRule>
  </conditionalFormatting>
  <conditionalFormatting sqref="E12:E161">
    <cfRule type="expression" priority="2" dxfId="1">
      <formula>$E12="Operacao"</formula>
    </cfRule>
    <cfRule type="expression" priority="3" dxfId="2">
      <formula>$E12="Manutencao"</formula>
    </cfRule>
    <cfRule type="expression" priority="4" dxfId="3">
      <formula>$E12="Falha"</formula>
    </cfRule>
    <cfRule type="expression" priority="5" dxfId="4">
      <formula>$E12="Inspecao"</formula>
    </cfRule>
  </conditionalFormatting>
  <dataValidations count="6">
    <dataValidation sqref="B5 C5" showDropDown="0" showInputMessage="0" showErrorMessage="0" allowBlank="1" type="date" operator="between">
      <formula1>DATE(2000,1,1)</formula1>
      <formula2>DATE(2100,12,31)</formula2>
    </dataValidation>
    <dataValidation sqref="E5" showDropDown="0" showInputMessage="0" showErrorMessage="0" allowBlank="1" type="list">
      <formula1>"Operacao,Manutencao,Falha,Inspecao"</formula1>
    </dataValidation>
    <dataValidation sqref="F5" showDropDown="0" showInputMessage="0" showErrorMessage="0" allowBlank="1" type="list">
      <formula1>"A,B"</formula1>
    </dataValidation>
    <dataValidation sqref="G5" showDropDown="0" showInputMessage="0" showErrorMessage="0" allowBlank="1" type="whole" operator="between">
      <formula1>1</formula1>
      <formula2>31</formula2>
    </dataValidation>
    <dataValidation sqref="H5" showDropDown="0" showInputMessage="0" showErrorMessage="0" allowBlank="1" type="whole" operator="between">
      <formula1>1</formula1>
      <formula2>12</formula2>
    </dataValidation>
    <dataValidation sqref="I5" showDropDown="0" showInputMessage="0" showErrorMessage="0" allowBlank="1" type="whole" operator="between">
      <formula1>2000</formula1>
      <formula2>2100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G20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4" customWidth="1" min="4" max="4"/>
    <col width="8" customWidth="1" min="5" max="5"/>
  </cols>
  <sheetData>
    <row r="1">
      <c r="A1" s="13" t="inlineStr">
        <is>
          <t>ID</t>
        </is>
      </c>
      <c r="B1" s="13" t="inlineStr">
        <is>
          <t>Data</t>
        </is>
      </c>
      <c r="C1" s="13" t="inlineStr">
        <is>
          <t>Forno</t>
        </is>
      </c>
      <c r="D1" s="13" t="inlineStr">
        <is>
          <t>Tipo</t>
        </is>
      </c>
      <c r="E1" s="13" t="inlineStr">
        <is>
          <t>Lado</t>
        </is>
      </c>
      <c r="G1" s="39" t="inlineStr">
        <is>
          <t>Tipos</t>
        </is>
      </c>
      <c r="H1" s="39" t="inlineStr">
        <is>
          <t>Lados</t>
        </is>
      </c>
      <c r="J1" s="39" t="inlineStr">
        <is>
          <t>Mes</t>
        </is>
      </c>
      <c r="K1" s="39" t="inlineStr">
        <is>
          <t>MesNum</t>
        </is>
      </c>
      <c r="L1" s="39" t="inlineStr">
        <is>
          <t>Qtd</t>
        </is>
      </c>
      <c r="N1" s="39" t="inlineStr">
        <is>
          <t>Dia</t>
        </is>
      </c>
      <c r="O1" s="39" t="inlineStr">
        <is>
          <t>Qtd</t>
        </is>
      </c>
      <c r="Q1" s="39" t="inlineStr">
        <is>
          <t>Tipo</t>
        </is>
      </c>
      <c r="R1" s="39" t="inlineStr">
        <is>
          <t>Qtd</t>
        </is>
      </c>
      <c r="T1" s="39" t="inlineStr">
        <is>
          <t>Forno_Operacao</t>
        </is>
      </c>
      <c r="U1" s="39" t="inlineStr">
        <is>
          <t>Qtd_Operacao</t>
        </is>
      </c>
      <c r="V1" s="39" t="inlineStr">
        <is>
          <t>Forno_Manutencao</t>
        </is>
      </c>
      <c r="W1" s="39" t="inlineStr">
        <is>
          <t>Qtd_Manutencao</t>
        </is>
      </c>
      <c r="X1" s="39" t="inlineStr">
        <is>
          <t>Forno_Falha</t>
        </is>
      </c>
      <c r="Y1" s="39" t="inlineStr">
        <is>
          <t>Qtd_Falha</t>
        </is>
      </c>
      <c r="Z1" s="39" t="inlineStr">
        <is>
          <t>Forno_Inspecao</t>
        </is>
      </c>
      <c r="AA1" s="39" t="inlineStr">
        <is>
          <t>Qtd_Inspecao</t>
        </is>
      </c>
      <c r="AB1" s="39" t="inlineStr">
        <is>
          <t>passa</t>
        </is>
      </c>
      <c r="AC1" s="39" t="inlineStr">
        <is>
          <t>fID</t>
        </is>
      </c>
      <c r="AD1" s="39" t="inlineStr">
        <is>
          <t>fData</t>
        </is>
      </c>
      <c r="AE1" s="39" t="inlineStr">
        <is>
          <t>fForno</t>
        </is>
      </c>
      <c r="AF1" s="39" t="inlineStr">
        <is>
          <t>fTipo</t>
        </is>
      </c>
      <c r="AG1" s="39" t="inlineStr">
        <is>
          <t>fLado</t>
        </is>
      </c>
    </row>
    <row r="2">
      <c r="A2" s="15" t="n">
        <v>1</v>
      </c>
      <c r="B2" s="38" t="n">
        <v>46027</v>
      </c>
      <c r="C2" s="15" t="n">
        <v>101</v>
      </c>
      <c r="D2" s="15" t="inlineStr">
        <is>
          <t>Operacao</t>
        </is>
      </c>
      <c r="E2" s="15" t="inlineStr">
        <is>
          <t>A</t>
        </is>
      </c>
      <c r="G2" t="inlineStr">
        <is>
          <t>Operacao</t>
        </is>
      </c>
      <c r="H2" t="inlineStr">
        <is>
          <t>A</t>
        </is>
      </c>
      <c r="J2" t="inlineStr">
        <is>
          <t>Jan</t>
        </is>
      </c>
      <c r="K2" t="n">
        <v>1</v>
      </c>
      <c r="L2">
        <f>COUNTIFS(tblFornos[Data],"&gt;="&amp;DATE(YEAR(TODAY()),1,1),tblFornos[Data],"&lt;"&amp;DATE(YEAR(TODAY()),2,1))</f>
        <v/>
      </c>
      <c r="N2" s="40">
        <f>IFERROR(INDEX(tblFornos[Data],MATCH(LARGE(IF(COUNTIF($N$1:N1,tblFornos[Data])=0,COUNTIFS(tblFornos[Data],tblFornos[Data])),1),IF(COUNTIF($N$1:N1,tblFornos[Data])=0,COUNTIFS(tblFornos[Data],tblFornos[Data])),0)),"")</f>
        <v/>
      </c>
      <c r="O2">
        <f>IF(N2="","",COUNTIFS(tblFornos[Data],N2))</f>
        <v/>
      </c>
      <c r="Q2" t="inlineStr">
        <is>
          <t>Operacao</t>
        </is>
      </c>
      <c r="R2">
        <f>COUNTIFS(tblFornos[Tipo],"Operacao")</f>
        <v/>
      </c>
      <c r="T2">
        <f>IFERROR(INDEX(tblFornos[Forno],MATCH(LARGE(IF((tblFornos[Tipo]="Operacao")*(COUNTIF($T$1:T1,tblFornos[Forno])=0),COUNTIFS(tblFornos[Forno],tblFornos[Forno],tblFornos[Tipo],"Operacao")),1),IF((tblFornos[Tipo]="Operacao")*(COUNTIF($T$1:T1,tblFornos[Forno])=0),COUNTIFS(tblFornos[Forno],tblFornos[Forno],tblFornos[Tipo],"Operacao")),0)),"")</f>
        <v/>
      </c>
      <c r="U2">
        <f>IF(T2="","",COUNTIFS(tblFornos[Forno],T2,tblFornos[Tipo],"Operacao"))</f>
        <v/>
      </c>
      <c r="V2">
        <f>IFERROR(INDEX(tblFornos[Forno],MATCH(LARGE(IF((tblFornos[Tipo]="Manutencao")*(COUNTIF($V$1:V1,tblFornos[Forno])=0),COUNTIFS(tblFornos[Forno],tblFornos[Forno],tblFornos[Tipo],"Manutencao")),1),IF((tblFornos[Tipo]="Manutencao")*(COUNTIF($V$1:V1,tblFornos[Forno])=0),COUNTIFS(tblFornos[Forno],tblFornos[Forno],tblFornos[Tipo],"Manutencao")),0)),"")</f>
        <v/>
      </c>
      <c r="W2">
        <f>IF(V2="","",COUNTIFS(tblFornos[Forno],V2,tblFornos[Tipo],"Manutencao"))</f>
        <v/>
      </c>
      <c r="X2">
        <f>IFERROR(INDEX(tblFornos[Forno],MATCH(LARGE(IF((tblFornos[Tipo]="Falha")*(COUNTIF($X$1:X1,tblFornos[Forno])=0),COUNTIFS(tblFornos[Forno],tblFornos[Forno],tblFornos[Tipo],"Falha")),1),IF((tblFornos[Tipo]="Falha")*(COUNTIF($X$1:X1,tblFornos[Forno])=0),COUNTIFS(tblFornos[Forno],tblFornos[Forno],tblFornos[Tipo],"Falha")),0)),"")</f>
        <v/>
      </c>
      <c r="Y2">
        <f>IF(X2="","",COUNTIFS(tblFornos[Forno],X2,tblFornos[Tipo],"Falha"))</f>
        <v/>
      </c>
      <c r="Z2">
        <f>IFERROR(INDEX(tblFornos[Forno],MATCH(LARGE(IF((tblFornos[Tipo]="Inspecao")*(COUNTIF($Z$1:Z1,tblFornos[Forno])=0),COUNTIFS(tblFornos[Forno],tblFornos[Forno],tblFornos[Tipo],"Inspecao")),1),IF((tblFornos[Tipo]="Inspecao")*(COUNTIF($Z$1:Z1,tblFornos[Forno])=0),COUNTIFS(tblFornos[Forno],tblFornos[Forno],tblFornos[Tipo],"Inspecao")),0)),"")</f>
        <v/>
      </c>
      <c r="AA2">
        <f>IF(Z2="","",COUNTIFS(tblFornos[Forno],Z2,tblFornos[Tipo],"Inspecao"))</f>
        <v/>
      </c>
      <c r="AB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">
        <f>IFERROR(INDEX(tblFornos[ID],AGGREGATE(15,6,(ROW($AB$2:$AB$201)-1)/($AB$2:$AB$201=1),ROWS($AC$2:AC2))),"")</f>
        <v/>
      </c>
      <c r="AD2" s="41">
        <f>IF($AC2="","",INDEX(tblFornos[Data],MATCH($AC2,tblFornos[ID],0)))</f>
        <v/>
      </c>
      <c r="AE2">
        <f>IF($AC2="","",INDEX(tblFornos[Forno],MATCH($AC2,tblFornos[ID],0)))</f>
        <v/>
      </c>
      <c r="AF2">
        <f>IF($AC2="","",INDEX(tblFornos[Tipo],MATCH($AC2,tblFornos[ID],0)))</f>
        <v/>
      </c>
      <c r="AG2">
        <f>IF($AC2="","",INDEX(tblFornos[Lado],MATCH($AC2,tblFornos[ID],0)))</f>
        <v/>
      </c>
    </row>
    <row r="3">
      <c r="A3" s="15" t="n">
        <v>2</v>
      </c>
      <c r="B3" s="38" t="n">
        <v>46027</v>
      </c>
      <c r="C3" s="15" t="n">
        <v>102</v>
      </c>
      <c r="D3" s="15" t="inlineStr">
        <is>
          <t>Manutencao</t>
        </is>
      </c>
      <c r="E3" s="15" t="inlineStr">
        <is>
          <t>B</t>
        </is>
      </c>
      <c r="G3" t="inlineStr">
        <is>
          <t>Manutencao</t>
        </is>
      </c>
      <c r="H3" t="inlineStr">
        <is>
          <t>B</t>
        </is>
      </c>
      <c r="J3" t="inlineStr">
        <is>
          <t>Fev</t>
        </is>
      </c>
      <c r="K3" t="n">
        <v>2</v>
      </c>
      <c r="L3">
        <f>COUNTIFS(tblFornos[Data],"&gt;="&amp;DATE(YEAR(TODAY()),2,1),tblFornos[Data],"&lt;"&amp;DATE(YEAR(TODAY()),3,1))</f>
        <v/>
      </c>
      <c r="N3" s="40">
        <f>IFERROR(INDEX(tblFornos[Data],MATCH(LARGE(IF(COUNTIF($N$1:N2,tblFornos[Data])=0,COUNTIFS(tblFornos[Data],tblFornos[Data])),1),IF(COUNTIF($N$1:N2,tblFornos[Data])=0,COUNTIFS(tblFornos[Data],tblFornos[Data])),0)),"")</f>
        <v/>
      </c>
      <c r="O3">
        <f>IF(N3="","",COUNTIFS(tblFornos[Data],N3))</f>
        <v/>
      </c>
      <c r="Q3" t="inlineStr">
        <is>
          <t>Manutencao</t>
        </is>
      </c>
      <c r="R3">
        <f>COUNTIFS(tblFornos[Tipo],"Manutencao")</f>
        <v/>
      </c>
      <c r="T3">
        <f>IFERROR(INDEX(tblFornos[Forno],MATCH(LARGE(IF((tblFornos[Tipo]="Operacao")*(COUNTIF($T$1:T2,tblFornos[Forno])=0),COUNTIFS(tblFornos[Forno],tblFornos[Forno],tblFornos[Tipo],"Operacao")),1),IF((tblFornos[Tipo]="Operacao")*(COUNTIF($T$1:T2,tblFornos[Forno])=0),COUNTIFS(tblFornos[Forno],tblFornos[Forno],tblFornos[Tipo],"Operacao")),0)),"")</f>
        <v/>
      </c>
      <c r="U3">
        <f>IF(T3="","",COUNTIFS(tblFornos[Forno],T3,tblFornos[Tipo],"Operacao"))</f>
        <v/>
      </c>
      <c r="V3">
        <f>IFERROR(INDEX(tblFornos[Forno],MATCH(LARGE(IF((tblFornos[Tipo]="Manutencao")*(COUNTIF($V$1:V2,tblFornos[Forno])=0),COUNTIFS(tblFornos[Forno],tblFornos[Forno],tblFornos[Tipo],"Manutencao")),1),IF((tblFornos[Tipo]="Manutencao")*(COUNTIF($V$1:V2,tblFornos[Forno])=0),COUNTIFS(tblFornos[Forno],tblFornos[Forno],tblFornos[Tipo],"Manutencao")),0)),"")</f>
        <v/>
      </c>
      <c r="W3">
        <f>IF(V3="","",COUNTIFS(tblFornos[Forno],V3,tblFornos[Tipo],"Manutencao"))</f>
        <v/>
      </c>
      <c r="X3">
        <f>IFERROR(INDEX(tblFornos[Forno],MATCH(LARGE(IF((tblFornos[Tipo]="Falha")*(COUNTIF($X$1:X2,tblFornos[Forno])=0),COUNTIFS(tblFornos[Forno],tblFornos[Forno],tblFornos[Tipo],"Falha")),1),IF((tblFornos[Tipo]="Falha")*(COUNTIF($X$1:X2,tblFornos[Forno])=0),COUNTIFS(tblFornos[Forno],tblFornos[Forno],tblFornos[Tipo],"Falha")),0)),"")</f>
        <v/>
      </c>
      <c r="Y3">
        <f>IF(X3="","",COUNTIFS(tblFornos[Forno],X3,tblFornos[Tipo],"Falha"))</f>
        <v/>
      </c>
      <c r="Z3">
        <f>IFERROR(INDEX(tblFornos[Forno],MATCH(LARGE(IF((tblFornos[Tipo]="Inspecao")*(COUNTIF($Z$1:Z2,tblFornos[Forno])=0),COUNTIFS(tblFornos[Forno],tblFornos[Forno],tblFornos[Tipo],"Inspecao")),1),IF((tblFornos[Tipo]="Inspecao")*(COUNTIF($Z$1:Z2,tblFornos[Forno])=0),COUNTIFS(tblFornos[Forno],tblFornos[Forno],tblFornos[Tipo],"Inspecao")),0)),"")</f>
        <v/>
      </c>
      <c r="AA3">
        <f>IF(Z3="","",COUNTIFS(tblFornos[Forno],Z3,tblFornos[Tipo],"Inspecao"))</f>
        <v/>
      </c>
      <c r="AB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">
        <f>IFERROR(INDEX(tblFornos[ID],AGGREGATE(15,6,(ROW($AB$2:$AB$201)-1)/($AB$2:$AB$201=1),ROWS($AC$2:AC3))),"")</f>
        <v/>
      </c>
      <c r="AD3" s="41">
        <f>IF($AC3="","",INDEX(tblFornos[Data],MATCH($AC3,tblFornos[ID],0)))</f>
        <v/>
      </c>
      <c r="AE3">
        <f>IF($AC3="","",INDEX(tblFornos[Forno],MATCH($AC3,tblFornos[ID],0)))</f>
        <v/>
      </c>
      <c r="AF3">
        <f>IF($AC3="","",INDEX(tblFornos[Tipo],MATCH($AC3,tblFornos[ID],0)))</f>
        <v/>
      </c>
      <c r="AG3">
        <f>IF($AC3="","",INDEX(tblFornos[Lado],MATCH($AC3,tblFornos[ID],0)))</f>
        <v/>
      </c>
    </row>
    <row r="4">
      <c r="A4" s="15" t="n">
        <v>3</v>
      </c>
      <c r="B4" s="38" t="n">
        <v>46028</v>
      </c>
      <c r="C4" s="15" t="n">
        <v>101</v>
      </c>
      <c r="D4" s="15" t="inlineStr">
        <is>
          <t>Falha</t>
        </is>
      </c>
      <c r="E4" s="15" t="inlineStr">
        <is>
          <t>A</t>
        </is>
      </c>
      <c r="G4" t="inlineStr">
        <is>
          <t>Falha</t>
        </is>
      </c>
      <c r="J4" t="inlineStr">
        <is>
          <t>Mar</t>
        </is>
      </c>
      <c r="K4" t="n">
        <v>3</v>
      </c>
      <c r="L4">
        <f>COUNTIFS(tblFornos[Data],"&gt;="&amp;DATE(YEAR(TODAY()),3,1),tblFornos[Data],"&lt;"&amp;DATE(YEAR(TODAY()),4,1))</f>
        <v/>
      </c>
      <c r="N4" s="40">
        <f>IFERROR(INDEX(tblFornos[Data],MATCH(LARGE(IF(COUNTIF($N$1:N3,tblFornos[Data])=0,COUNTIFS(tblFornos[Data],tblFornos[Data])),1),IF(COUNTIF($N$1:N3,tblFornos[Data])=0,COUNTIFS(tblFornos[Data],tblFornos[Data])),0)),"")</f>
        <v/>
      </c>
      <c r="O4">
        <f>IF(N4="","",COUNTIFS(tblFornos[Data],N4))</f>
        <v/>
      </c>
      <c r="Q4" t="inlineStr">
        <is>
          <t>Falha</t>
        </is>
      </c>
      <c r="R4">
        <f>COUNTIFS(tblFornos[Tipo],"Falha")</f>
        <v/>
      </c>
      <c r="T4">
        <f>IFERROR(INDEX(tblFornos[Forno],MATCH(LARGE(IF((tblFornos[Tipo]="Operacao")*(COUNTIF($T$1:T3,tblFornos[Forno])=0),COUNTIFS(tblFornos[Forno],tblFornos[Forno],tblFornos[Tipo],"Operacao")),1),IF((tblFornos[Tipo]="Operacao")*(COUNTIF($T$1:T3,tblFornos[Forno])=0),COUNTIFS(tblFornos[Forno],tblFornos[Forno],tblFornos[Tipo],"Operacao")),0)),"")</f>
        <v/>
      </c>
      <c r="U4">
        <f>IF(T4="","",COUNTIFS(tblFornos[Forno],T4,tblFornos[Tipo],"Operacao"))</f>
        <v/>
      </c>
      <c r="V4">
        <f>IFERROR(INDEX(tblFornos[Forno],MATCH(LARGE(IF((tblFornos[Tipo]="Manutencao")*(COUNTIF($V$1:V3,tblFornos[Forno])=0),COUNTIFS(tblFornos[Forno],tblFornos[Forno],tblFornos[Tipo],"Manutencao")),1),IF((tblFornos[Tipo]="Manutencao")*(COUNTIF($V$1:V3,tblFornos[Forno])=0),COUNTIFS(tblFornos[Forno],tblFornos[Forno],tblFornos[Tipo],"Manutencao")),0)),"")</f>
        <v/>
      </c>
      <c r="W4">
        <f>IF(V4="","",COUNTIFS(tblFornos[Forno],V4,tblFornos[Tipo],"Manutencao"))</f>
        <v/>
      </c>
      <c r="X4">
        <f>IFERROR(INDEX(tblFornos[Forno],MATCH(LARGE(IF((tblFornos[Tipo]="Falha")*(COUNTIF($X$1:X3,tblFornos[Forno])=0),COUNTIFS(tblFornos[Forno],tblFornos[Forno],tblFornos[Tipo],"Falha")),1),IF((tblFornos[Tipo]="Falha")*(COUNTIF($X$1:X3,tblFornos[Forno])=0),COUNTIFS(tblFornos[Forno],tblFornos[Forno],tblFornos[Tipo],"Falha")),0)),"")</f>
        <v/>
      </c>
      <c r="Y4">
        <f>IF(X4="","",COUNTIFS(tblFornos[Forno],X4,tblFornos[Tipo],"Falha"))</f>
        <v/>
      </c>
      <c r="Z4">
        <f>IFERROR(INDEX(tblFornos[Forno],MATCH(LARGE(IF((tblFornos[Tipo]="Inspecao")*(COUNTIF($Z$1:Z3,tblFornos[Forno])=0),COUNTIFS(tblFornos[Forno],tblFornos[Forno],tblFornos[Tipo],"Inspecao")),1),IF((tblFornos[Tipo]="Inspecao")*(COUNTIF($Z$1:Z3,tblFornos[Forno])=0),COUNTIFS(tblFornos[Forno],tblFornos[Forno],tblFornos[Tipo],"Inspecao")),0)),"")</f>
        <v/>
      </c>
      <c r="AA4">
        <f>IF(Z4="","",COUNTIFS(tblFornos[Forno],Z4,tblFornos[Tipo],"Inspecao"))</f>
        <v/>
      </c>
      <c r="AB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">
        <f>IFERROR(INDEX(tblFornos[ID],AGGREGATE(15,6,(ROW($AB$2:$AB$201)-1)/($AB$2:$AB$201=1),ROWS($AC$2:AC4))),"")</f>
        <v/>
      </c>
      <c r="AD4" s="41">
        <f>IF($AC4="","",INDEX(tblFornos[Data],MATCH($AC4,tblFornos[ID],0)))</f>
        <v/>
      </c>
      <c r="AE4">
        <f>IF($AC4="","",INDEX(tblFornos[Forno],MATCH($AC4,tblFornos[ID],0)))</f>
        <v/>
      </c>
      <c r="AF4">
        <f>IF($AC4="","",INDEX(tblFornos[Tipo],MATCH($AC4,tblFornos[ID],0)))</f>
        <v/>
      </c>
      <c r="AG4">
        <f>IF($AC4="","",INDEX(tblFornos[Lado],MATCH($AC4,tblFornos[ID],0)))</f>
        <v/>
      </c>
    </row>
    <row r="5">
      <c r="A5" s="15" t="n">
        <v>4</v>
      </c>
      <c r="B5" s="38" t="n">
        <v>46063</v>
      </c>
      <c r="C5" s="15" t="n">
        <v>103</v>
      </c>
      <c r="D5" s="15" t="inlineStr">
        <is>
          <t>Inspecao</t>
        </is>
      </c>
      <c r="E5" s="15" t="inlineStr">
        <is>
          <t>B</t>
        </is>
      </c>
      <c r="G5" t="inlineStr">
        <is>
          <t>Inspecao</t>
        </is>
      </c>
      <c r="J5" t="inlineStr">
        <is>
          <t>Abr</t>
        </is>
      </c>
      <c r="K5" t="n">
        <v>4</v>
      </c>
      <c r="L5">
        <f>COUNTIFS(tblFornos[Data],"&gt;="&amp;DATE(YEAR(TODAY()),4,1),tblFornos[Data],"&lt;"&amp;DATE(YEAR(TODAY()),5,1))</f>
        <v/>
      </c>
      <c r="N5" s="40">
        <f>IFERROR(INDEX(tblFornos[Data],MATCH(LARGE(IF(COUNTIF($N$1:N4,tblFornos[Data])=0,COUNTIFS(tblFornos[Data],tblFornos[Data])),1),IF(COUNTIF($N$1:N4,tblFornos[Data])=0,COUNTIFS(tblFornos[Data],tblFornos[Data])),0)),"")</f>
        <v/>
      </c>
      <c r="O5">
        <f>IF(N5="","",COUNTIFS(tblFornos[Data],N5))</f>
        <v/>
      </c>
      <c r="Q5" t="inlineStr">
        <is>
          <t>Inspecao</t>
        </is>
      </c>
      <c r="R5">
        <f>COUNTIFS(tblFornos[Tipo],"Inspecao")</f>
        <v/>
      </c>
      <c r="T5">
        <f>IFERROR(INDEX(tblFornos[Forno],MATCH(LARGE(IF((tblFornos[Tipo]="Operacao")*(COUNTIF($T$1:T4,tblFornos[Forno])=0),COUNTIFS(tblFornos[Forno],tblFornos[Forno],tblFornos[Tipo],"Operacao")),1),IF((tblFornos[Tipo]="Operacao")*(COUNTIF($T$1:T4,tblFornos[Forno])=0),COUNTIFS(tblFornos[Forno],tblFornos[Forno],tblFornos[Tipo],"Operacao")),0)),"")</f>
        <v/>
      </c>
      <c r="U5">
        <f>IF(T5="","",COUNTIFS(tblFornos[Forno],T5,tblFornos[Tipo],"Operacao"))</f>
        <v/>
      </c>
      <c r="V5">
        <f>IFERROR(INDEX(tblFornos[Forno],MATCH(LARGE(IF((tblFornos[Tipo]="Manutencao")*(COUNTIF($V$1:V4,tblFornos[Forno])=0),COUNTIFS(tblFornos[Forno],tblFornos[Forno],tblFornos[Tipo],"Manutencao")),1),IF((tblFornos[Tipo]="Manutencao")*(COUNTIF($V$1:V4,tblFornos[Forno])=0),COUNTIFS(tblFornos[Forno],tblFornos[Forno],tblFornos[Tipo],"Manutencao")),0)),"")</f>
        <v/>
      </c>
      <c r="W5">
        <f>IF(V5="","",COUNTIFS(tblFornos[Forno],V5,tblFornos[Tipo],"Manutencao"))</f>
        <v/>
      </c>
      <c r="X5">
        <f>IFERROR(INDEX(tblFornos[Forno],MATCH(LARGE(IF((tblFornos[Tipo]="Falha")*(COUNTIF($X$1:X4,tblFornos[Forno])=0),COUNTIFS(tblFornos[Forno],tblFornos[Forno],tblFornos[Tipo],"Falha")),1),IF((tblFornos[Tipo]="Falha")*(COUNTIF($X$1:X4,tblFornos[Forno])=0),COUNTIFS(tblFornos[Forno],tblFornos[Forno],tblFornos[Tipo],"Falha")),0)),"")</f>
        <v/>
      </c>
      <c r="Y5">
        <f>IF(X5="","",COUNTIFS(tblFornos[Forno],X5,tblFornos[Tipo],"Falha"))</f>
        <v/>
      </c>
      <c r="Z5">
        <f>IFERROR(INDEX(tblFornos[Forno],MATCH(LARGE(IF((tblFornos[Tipo]="Inspecao")*(COUNTIF($Z$1:Z4,tblFornos[Forno])=0),COUNTIFS(tblFornos[Forno],tblFornos[Forno],tblFornos[Tipo],"Inspecao")),1),IF((tblFornos[Tipo]="Inspecao")*(COUNTIF($Z$1:Z4,tblFornos[Forno])=0),COUNTIFS(tblFornos[Forno],tblFornos[Forno],tblFornos[Tipo],"Inspecao")),0)),"")</f>
        <v/>
      </c>
      <c r="AA5">
        <f>IF(Z5="","",COUNTIFS(tblFornos[Forno],Z5,tblFornos[Tipo],"Inspecao"))</f>
        <v/>
      </c>
      <c r="AB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">
        <f>IFERROR(INDEX(tblFornos[ID],AGGREGATE(15,6,(ROW($AB$2:$AB$201)-1)/($AB$2:$AB$201=1),ROWS($AC$2:AC5))),"")</f>
        <v/>
      </c>
      <c r="AD5" s="41">
        <f>IF($AC5="","",INDEX(tblFornos[Data],MATCH($AC5,tblFornos[ID],0)))</f>
        <v/>
      </c>
      <c r="AE5">
        <f>IF($AC5="","",INDEX(tblFornos[Forno],MATCH($AC5,tblFornos[ID],0)))</f>
        <v/>
      </c>
      <c r="AF5">
        <f>IF($AC5="","",INDEX(tblFornos[Tipo],MATCH($AC5,tblFornos[ID],0)))</f>
        <v/>
      </c>
      <c r="AG5">
        <f>IF($AC5="","",INDEX(tblFornos[Lado],MATCH($AC5,tblFornos[ID],0)))</f>
        <v/>
      </c>
    </row>
    <row r="6">
      <c r="A6" s="15" t="n">
        <v>5</v>
      </c>
      <c r="B6" s="38" t="n">
        <v>46065</v>
      </c>
      <c r="C6" s="15" t="n">
        <v>102</v>
      </c>
      <c r="D6" s="15" t="inlineStr">
        <is>
          <t>Operacao</t>
        </is>
      </c>
      <c r="E6" s="15" t="inlineStr">
        <is>
          <t>A</t>
        </is>
      </c>
      <c r="J6" t="inlineStr">
        <is>
          <t>Mai</t>
        </is>
      </c>
      <c r="K6" t="n">
        <v>5</v>
      </c>
      <c r="L6">
        <f>COUNTIFS(tblFornos[Data],"&gt;="&amp;DATE(YEAR(TODAY()),5,1),tblFornos[Data],"&lt;"&amp;DATE(YEAR(TODAY()),6,1))</f>
        <v/>
      </c>
      <c r="N6" s="40">
        <f>IFERROR(INDEX(tblFornos[Data],MATCH(LARGE(IF(COUNTIF($N$1:N5,tblFornos[Data])=0,COUNTIFS(tblFornos[Data],tblFornos[Data])),1),IF(COUNTIF($N$1:N5,tblFornos[Data])=0,COUNTIFS(tblFornos[Data],tblFornos[Data])),0)),"")</f>
        <v/>
      </c>
      <c r="O6">
        <f>IF(N6="","",COUNTIFS(tblFornos[Data],N6))</f>
        <v/>
      </c>
      <c r="T6">
        <f>IFERROR(INDEX(tblFornos[Forno],MATCH(LARGE(IF((tblFornos[Tipo]="Operacao")*(COUNTIF($T$1:T5,tblFornos[Forno])=0),COUNTIFS(tblFornos[Forno],tblFornos[Forno],tblFornos[Tipo],"Operacao")),1),IF((tblFornos[Tipo]="Operacao")*(COUNTIF($T$1:T5,tblFornos[Forno])=0),COUNTIFS(tblFornos[Forno],tblFornos[Forno],tblFornos[Tipo],"Operacao")),0)),"")</f>
        <v/>
      </c>
      <c r="U6">
        <f>IF(T6="","",COUNTIFS(tblFornos[Forno],T6,tblFornos[Tipo],"Operacao"))</f>
        <v/>
      </c>
      <c r="V6">
        <f>IFERROR(INDEX(tblFornos[Forno],MATCH(LARGE(IF((tblFornos[Tipo]="Manutencao")*(COUNTIF($V$1:V5,tblFornos[Forno])=0),COUNTIFS(tblFornos[Forno],tblFornos[Forno],tblFornos[Tipo],"Manutencao")),1),IF((tblFornos[Tipo]="Manutencao")*(COUNTIF($V$1:V5,tblFornos[Forno])=0),COUNTIFS(tblFornos[Forno],tblFornos[Forno],tblFornos[Tipo],"Manutencao")),0)),"")</f>
        <v/>
      </c>
      <c r="W6">
        <f>IF(V6="","",COUNTIFS(tblFornos[Forno],V6,tblFornos[Tipo],"Manutencao"))</f>
        <v/>
      </c>
      <c r="X6">
        <f>IFERROR(INDEX(tblFornos[Forno],MATCH(LARGE(IF((tblFornos[Tipo]="Falha")*(COUNTIF($X$1:X5,tblFornos[Forno])=0),COUNTIFS(tblFornos[Forno],tblFornos[Forno],tblFornos[Tipo],"Falha")),1),IF((tblFornos[Tipo]="Falha")*(COUNTIF($X$1:X5,tblFornos[Forno])=0),COUNTIFS(tblFornos[Forno],tblFornos[Forno],tblFornos[Tipo],"Falha")),0)),"")</f>
        <v/>
      </c>
      <c r="Y6">
        <f>IF(X6="","",COUNTIFS(tblFornos[Forno],X6,tblFornos[Tipo],"Falha"))</f>
        <v/>
      </c>
      <c r="Z6">
        <f>IFERROR(INDEX(tblFornos[Forno],MATCH(LARGE(IF((tblFornos[Tipo]="Inspecao")*(COUNTIF($Z$1:Z5,tblFornos[Forno])=0),COUNTIFS(tblFornos[Forno],tblFornos[Forno],tblFornos[Tipo],"Inspecao")),1),IF((tblFornos[Tipo]="Inspecao")*(COUNTIF($Z$1:Z5,tblFornos[Forno])=0),COUNTIFS(tblFornos[Forno],tblFornos[Forno],tblFornos[Tipo],"Inspecao")),0)),"")</f>
        <v/>
      </c>
      <c r="AA6">
        <f>IF(Z6="","",COUNTIFS(tblFornos[Forno],Z6,tblFornos[Tipo],"Inspecao"))</f>
        <v/>
      </c>
      <c r="AB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">
        <f>IFERROR(INDEX(tblFornos[ID],AGGREGATE(15,6,(ROW($AB$2:$AB$201)-1)/($AB$2:$AB$201=1),ROWS($AC$2:AC6))),"")</f>
        <v/>
      </c>
      <c r="AD6" s="41">
        <f>IF($AC6="","",INDEX(tblFornos[Data],MATCH($AC6,tblFornos[ID],0)))</f>
        <v/>
      </c>
      <c r="AE6">
        <f>IF($AC6="","",INDEX(tblFornos[Forno],MATCH($AC6,tblFornos[ID],0)))</f>
        <v/>
      </c>
      <c r="AF6">
        <f>IF($AC6="","",INDEX(tblFornos[Tipo],MATCH($AC6,tblFornos[ID],0)))</f>
        <v/>
      </c>
      <c r="AG6">
        <f>IF($AC6="","",INDEX(tblFornos[Lado],MATCH($AC6,tblFornos[ID],0)))</f>
        <v/>
      </c>
    </row>
    <row r="7">
      <c r="A7" s="15" t="n">
        <v>6</v>
      </c>
      <c r="B7" s="38" t="n">
        <v>46084</v>
      </c>
      <c r="C7" s="15" t="n">
        <v>104</v>
      </c>
      <c r="D7" s="15" t="inlineStr">
        <is>
          <t>Manutencao</t>
        </is>
      </c>
      <c r="E7" s="15" t="inlineStr">
        <is>
          <t>A</t>
        </is>
      </c>
      <c r="J7" t="inlineStr">
        <is>
          <t>Jun</t>
        </is>
      </c>
      <c r="K7" t="n">
        <v>6</v>
      </c>
      <c r="L7">
        <f>COUNTIFS(tblFornos[Data],"&gt;="&amp;DATE(YEAR(TODAY()),6,1),tblFornos[Data],"&lt;"&amp;DATE(YEAR(TODAY()),7,1))</f>
        <v/>
      </c>
      <c r="N7" s="40">
        <f>IFERROR(INDEX(tblFornos[Data],MATCH(LARGE(IF(COUNTIF($N$1:N6,tblFornos[Data])=0,COUNTIFS(tblFornos[Data],tblFornos[Data])),1),IF(COUNTIF($N$1:N6,tblFornos[Data])=0,COUNTIFS(tblFornos[Data],tblFornos[Data])),0)),"")</f>
        <v/>
      </c>
      <c r="O7">
        <f>IF(N7="","",COUNTIFS(tblFornos[Data],N7))</f>
        <v/>
      </c>
      <c r="T7">
        <f>IFERROR(INDEX(tblFornos[Forno],MATCH(LARGE(IF((tblFornos[Tipo]="Operacao")*(COUNTIF($T$1:T6,tblFornos[Forno])=0),COUNTIFS(tblFornos[Forno],tblFornos[Forno],tblFornos[Tipo],"Operacao")),1),IF((tblFornos[Tipo]="Operacao")*(COUNTIF($T$1:T6,tblFornos[Forno])=0),COUNTIFS(tblFornos[Forno],tblFornos[Forno],tblFornos[Tipo],"Operacao")),0)),"")</f>
        <v/>
      </c>
      <c r="U7">
        <f>IF(T7="","",COUNTIFS(tblFornos[Forno],T7,tblFornos[Tipo],"Operacao"))</f>
        <v/>
      </c>
      <c r="V7">
        <f>IFERROR(INDEX(tblFornos[Forno],MATCH(LARGE(IF((tblFornos[Tipo]="Manutencao")*(COUNTIF($V$1:V6,tblFornos[Forno])=0),COUNTIFS(tblFornos[Forno],tblFornos[Forno],tblFornos[Tipo],"Manutencao")),1),IF((tblFornos[Tipo]="Manutencao")*(COUNTIF($V$1:V6,tblFornos[Forno])=0),COUNTIFS(tblFornos[Forno],tblFornos[Forno],tblFornos[Tipo],"Manutencao")),0)),"")</f>
        <v/>
      </c>
      <c r="W7">
        <f>IF(V7="","",COUNTIFS(tblFornos[Forno],V7,tblFornos[Tipo],"Manutencao"))</f>
        <v/>
      </c>
      <c r="X7">
        <f>IFERROR(INDEX(tblFornos[Forno],MATCH(LARGE(IF((tblFornos[Tipo]="Falha")*(COUNTIF($X$1:X6,tblFornos[Forno])=0),COUNTIFS(tblFornos[Forno],tblFornos[Forno],tblFornos[Tipo],"Falha")),1),IF((tblFornos[Tipo]="Falha")*(COUNTIF($X$1:X6,tblFornos[Forno])=0),COUNTIFS(tblFornos[Forno],tblFornos[Forno],tblFornos[Tipo],"Falha")),0)),"")</f>
        <v/>
      </c>
      <c r="Y7">
        <f>IF(X7="","",COUNTIFS(tblFornos[Forno],X7,tblFornos[Tipo],"Falha"))</f>
        <v/>
      </c>
      <c r="Z7">
        <f>IFERROR(INDEX(tblFornos[Forno],MATCH(LARGE(IF((tblFornos[Tipo]="Inspecao")*(COUNTIF($Z$1:Z6,tblFornos[Forno])=0),COUNTIFS(tblFornos[Forno],tblFornos[Forno],tblFornos[Tipo],"Inspecao")),1),IF((tblFornos[Tipo]="Inspecao")*(COUNTIF($Z$1:Z6,tblFornos[Forno])=0),COUNTIFS(tblFornos[Forno],tblFornos[Forno],tblFornos[Tipo],"Inspecao")),0)),"")</f>
        <v/>
      </c>
      <c r="AA7">
        <f>IF(Z7="","",COUNTIFS(tblFornos[Forno],Z7,tblFornos[Tipo],"Inspecao"))</f>
        <v/>
      </c>
      <c r="AB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">
        <f>IFERROR(INDEX(tblFornos[ID],AGGREGATE(15,6,(ROW($AB$2:$AB$201)-1)/($AB$2:$AB$201=1),ROWS($AC$2:AC7))),"")</f>
        <v/>
      </c>
      <c r="AD7" s="41">
        <f>IF($AC7="","",INDEX(tblFornos[Data],MATCH($AC7,tblFornos[ID],0)))</f>
        <v/>
      </c>
      <c r="AE7">
        <f>IF($AC7="","",INDEX(tblFornos[Forno],MATCH($AC7,tblFornos[ID],0)))</f>
        <v/>
      </c>
      <c r="AF7">
        <f>IF($AC7="","",INDEX(tblFornos[Tipo],MATCH($AC7,tblFornos[ID],0)))</f>
        <v/>
      </c>
      <c r="AG7">
        <f>IF($AC7="","",INDEX(tblFornos[Lado],MATCH($AC7,tblFornos[ID],0)))</f>
        <v/>
      </c>
    </row>
    <row r="8">
      <c r="A8" s="15" t="n">
        <v>7</v>
      </c>
      <c r="B8" s="38" t="n">
        <v>46096</v>
      </c>
      <c r="C8" s="15" t="n">
        <v>101</v>
      </c>
      <c r="D8" s="15" t="inlineStr">
        <is>
          <t>Operacao</t>
        </is>
      </c>
      <c r="E8" s="15" t="inlineStr">
        <is>
          <t>B</t>
        </is>
      </c>
      <c r="J8" t="inlineStr">
        <is>
          <t>Jul</t>
        </is>
      </c>
      <c r="K8" t="n">
        <v>7</v>
      </c>
      <c r="L8">
        <f>COUNTIFS(tblFornos[Data],"&gt;="&amp;DATE(YEAR(TODAY()),7,1),tblFornos[Data],"&lt;"&amp;DATE(YEAR(TODAY()),8,1))</f>
        <v/>
      </c>
      <c r="N8" s="40">
        <f>IFERROR(INDEX(tblFornos[Data],MATCH(LARGE(IF(COUNTIF($N$1:N7,tblFornos[Data])=0,COUNTIFS(tblFornos[Data],tblFornos[Data])),1),IF(COUNTIF($N$1:N7,tblFornos[Data])=0,COUNTIFS(tblFornos[Data],tblFornos[Data])),0)),"")</f>
        <v/>
      </c>
      <c r="O8">
        <f>IF(N8="","",COUNTIFS(tblFornos[Data],N8))</f>
        <v/>
      </c>
      <c r="T8">
        <f>IFERROR(INDEX(tblFornos[Forno],MATCH(LARGE(IF((tblFornos[Tipo]="Operacao")*(COUNTIF($T$1:T7,tblFornos[Forno])=0),COUNTIFS(tblFornos[Forno],tblFornos[Forno],tblFornos[Tipo],"Operacao")),1),IF((tblFornos[Tipo]="Operacao")*(COUNTIF($T$1:T7,tblFornos[Forno])=0),COUNTIFS(tblFornos[Forno],tblFornos[Forno],tblFornos[Tipo],"Operacao")),0)),"")</f>
        <v/>
      </c>
      <c r="U8">
        <f>IF(T8="","",COUNTIFS(tblFornos[Forno],T8,tblFornos[Tipo],"Operacao"))</f>
        <v/>
      </c>
      <c r="V8">
        <f>IFERROR(INDEX(tblFornos[Forno],MATCH(LARGE(IF((tblFornos[Tipo]="Manutencao")*(COUNTIF($V$1:V7,tblFornos[Forno])=0),COUNTIFS(tblFornos[Forno],tblFornos[Forno],tblFornos[Tipo],"Manutencao")),1),IF((tblFornos[Tipo]="Manutencao")*(COUNTIF($V$1:V7,tblFornos[Forno])=0),COUNTIFS(tblFornos[Forno],tblFornos[Forno],tblFornos[Tipo],"Manutencao")),0)),"")</f>
        <v/>
      </c>
      <c r="W8">
        <f>IF(V8="","",COUNTIFS(tblFornos[Forno],V8,tblFornos[Tipo],"Manutencao"))</f>
        <v/>
      </c>
      <c r="X8">
        <f>IFERROR(INDEX(tblFornos[Forno],MATCH(LARGE(IF((tblFornos[Tipo]="Falha")*(COUNTIF($X$1:X7,tblFornos[Forno])=0),COUNTIFS(tblFornos[Forno],tblFornos[Forno],tblFornos[Tipo],"Falha")),1),IF((tblFornos[Tipo]="Falha")*(COUNTIF($X$1:X7,tblFornos[Forno])=0),COUNTIFS(tblFornos[Forno],tblFornos[Forno],tblFornos[Tipo],"Falha")),0)),"")</f>
        <v/>
      </c>
      <c r="Y8">
        <f>IF(X8="","",COUNTIFS(tblFornos[Forno],X8,tblFornos[Tipo],"Falha"))</f>
        <v/>
      </c>
      <c r="Z8">
        <f>IFERROR(INDEX(tblFornos[Forno],MATCH(LARGE(IF((tblFornos[Tipo]="Inspecao")*(COUNTIF($Z$1:Z7,tblFornos[Forno])=0),COUNTIFS(tblFornos[Forno],tblFornos[Forno],tblFornos[Tipo],"Inspecao")),1),IF((tblFornos[Tipo]="Inspecao")*(COUNTIF($Z$1:Z7,tblFornos[Forno])=0),COUNTIFS(tblFornos[Forno],tblFornos[Forno],tblFornos[Tipo],"Inspecao")),0)),"")</f>
        <v/>
      </c>
      <c r="AA8">
        <f>IF(Z8="","",COUNTIFS(tblFornos[Forno],Z8,tblFornos[Tipo],"Inspecao"))</f>
        <v/>
      </c>
      <c r="AB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">
        <f>IFERROR(INDEX(tblFornos[ID],AGGREGATE(15,6,(ROW($AB$2:$AB$201)-1)/($AB$2:$AB$201=1),ROWS($AC$2:AC8))),"")</f>
        <v/>
      </c>
      <c r="AD8" s="41">
        <f>IF($AC8="","",INDEX(tblFornos[Data],MATCH($AC8,tblFornos[ID],0)))</f>
        <v/>
      </c>
      <c r="AE8">
        <f>IF($AC8="","",INDEX(tblFornos[Forno],MATCH($AC8,tblFornos[ID],0)))</f>
        <v/>
      </c>
      <c r="AF8">
        <f>IF($AC8="","",INDEX(tblFornos[Tipo],MATCH($AC8,tblFornos[ID],0)))</f>
        <v/>
      </c>
      <c r="AG8">
        <f>IF($AC8="","",INDEX(tblFornos[Lado],MATCH($AC8,tblFornos[ID],0)))</f>
        <v/>
      </c>
    </row>
    <row r="9">
      <c r="A9" s="15" t="n">
        <v>8</v>
      </c>
      <c r="B9" s="38" t="n">
        <v>46096</v>
      </c>
      <c r="C9" s="15" t="n">
        <v>105</v>
      </c>
      <c r="D9" s="15" t="inlineStr">
        <is>
          <t>Falha</t>
        </is>
      </c>
      <c r="E9" s="15" t="inlineStr">
        <is>
          <t>A</t>
        </is>
      </c>
      <c r="J9" t="inlineStr">
        <is>
          <t>Ago</t>
        </is>
      </c>
      <c r="K9" t="n">
        <v>8</v>
      </c>
      <c r="L9">
        <f>COUNTIFS(tblFornos[Data],"&gt;="&amp;DATE(YEAR(TODAY()),8,1),tblFornos[Data],"&lt;"&amp;DATE(YEAR(TODAY()),9,1))</f>
        <v/>
      </c>
      <c r="N9" s="40">
        <f>IFERROR(INDEX(tblFornos[Data],MATCH(LARGE(IF(COUNTIF($N$1:N8,tblFornos[Data])=0,COUNTIFS(tblFornos[Data],tblFornos[Data])),1),IF(COUNTIF($N$1:N8,tblFornos[Data])=0,COUNTIFS(tblFornos[Data],tblFornos[Data])),0)),"")</f>
        <v/>
      </c>
      <c r="O9">
        <f>IF(N9="","",COUNTIFS(tblFornos[Data],N9))</f>
        <v/>
      </c>
      <c r="T9">
        <f>IFERROR(INDEX(tblFornos[Forno],MATCH(LARGE(IF((tblFornos[Tipo]="Operacao")*(COUNTIF($T$1:T8,tblFornos[Forno])=0),COUNTIFS(tblFornos[Forno],tblFornos[Forno],tblFornos[Tipo],"Operacao")),1),IF((tblFornos[Tipo]="Operacao")*(COUNTIF($T$1:T8,tblFornos[Forno])=0),COUNTIFS(tblFornos[Forno],tblFornos[Forno],tblFornos[Tipo],"Operacao")),0)),"")</f>
        <v/>
      </c>
      <c r="U9">
        <f>IF(T9="","",COUNTIFS(tblFornos[Forno],T9,tblFornos[Tipo],"Operacao"))</f>
        <v/>
      </c>
      <c r="V9">
        <f>IFERROR(INDEX(tblFornos[Forno],MATCH(LARGE(IF((tblFornos[Tipo]="Manutencao")*(COUNTIF($V$1:V8,tblFornos[Forno])=0),COUNTIFS(tblFornos[Forno],tblFornos[Forno],tblFornos[Tipo],"Manutencao")),1),IF((tblFornos[Tipo]="Manutencao")*(COUNTIF($V$1:V8,tblFornos[Forno])=0),COUNTIFS(tblFornos[Forno],tblFornos[Forno],tblFornos[Tipo],"Manutencao")),0)),"")</f>
        <v/>
      </c>
      <c r="W9">
        <f>IF(V9="","",COUNTIFS(tblFornos[Forno],V9,tblFornos[Tipo],"Manutencao"))</f>
        <v/>
      </c>
      <c r="X9">
        <f>IFERROR(INDEX(tblFornos[Forno],MATCH(LARGE(IF((tblFornos[Tipo]="Falha")*(COUNTIF($X$1:X8,tblFornos[Forno])=0),COUNTIFS(tblFornos[Forno],tblFornos[Forno],tblFornos[Tipo],"Falha")),1),IF((tblFornos[Tipo]="Falha")*(COUNTIF($X$1:X8,tblFornos[Forno])=0),COUNTIFS(tblFornos[Forno],tblFornos[Forno],tblFornos[Tipo],"Falha")),0)),"")</f>
        <v/>
      </c>
      <c r="Y9">
        <f>IF(X9="","",COUNTIFS(tblFornos[Forno],X9,tblFornos[Tipo],"Falha"))</f>
        <v/>
      </c>
      <c r="Z9">
        <f>IFERROR(INDEX(tblFornos[Forno],MATCH(LARGE(IF((tblFornos[Tipo]="Inspecao")*(COUNTIF($Z$1:Z8,tblFornos[Forno])=0),COUNTIFS(tblFornos[Forno],tblFornos[Forno],tblFornos[Tipo],"Inspecao")),1),IF((tblFornos[Tipo]="Inspecao")*(COUNTIF($Z$1:Z8,tblFornos[Forno])=0),COUNTIFS(tblFornos[Forno],tblFornos[Forno],tblFornos[Tipo],"Inspecao")),0)),"")</f>
        <v/>
      </c>
      <c r="AA9">
        <f>IF(Z9="","",COUNTIFS(tblFornos[Forno],Z9,tblFornos[Tipo],"Inspecao"))</f>
        <v/>
      </c>
      <c r="AB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">
        <f>IFERROR(INDEX(tblFornos[ID],AGGREGATE(15,6,(ROW($AB$2:$AB$201)-1)/($AB$2:$AB$201=1),ROWS($AC$2:AC9))),"")</f>
        <v/>
      </c>
      <c r="AD9" s="41">
        <f>IF($AC9="","",INDEX(tblFornos[Data],MATCH($AC9,tblFornos[ID],0)))</f>
        <v/>
      </c>
      <c r="AE9">
        <f>IF($AC9="","",INDEX(tblFornos[Forno],MATCH($AC9,tblFornos[ID],0)))</f>
        <v/>
      </c>
      <c r="AF9">
        <f>IF($AC9="","",INDEX(tblFornos[Tipo],MATCH($AC9,tblFornos[ID],0)))</f>
        <v/>
      </c>
      <c r="AG9">
        <f>IF($AC9="","",INDEX(tblFornos[Lado],MATCH($AC9,tblFornos[ID],0)))</f>
        <v/>
      </c>
    </row>
    <row r="10">
      <c r="A10" s="15" t="n">
        <v>9</v>
      </c>
      <c r="B10" s="38" t="n">
        <v>46114</v>
      </c>
      <c r="C10" s="15" t="n">
        <v>103</v>
      </c>
      <c r="D10" s="15" t="inlineStr">
        <is>
          <t>Operacao</t>
        </is>
      </c>
      <c r="E10" s="15" t="inlineStr">
        <is>
          <t>B</t>
        </is>
      </c>
      <c r="J10" t="inlineStr">
        <is>
          <t>Set</t>
        </is>
      </c>
      <c r="K10" t="n">
        <v>9</v>
      </c>
      <c r="L10">
        <f>COUNTIFS(tblFornos[Data],"&gt;="&amp;DATE(YEAR(TODAY()),9,1),tblFornos[Data],"&lt;"&amp;DATE(YEAR(TODAY()),10,1))</f>
        <v/>
      </c>
      <c r="N10" s="40">
        <f>IFERROR(INDEX(tblFornos[Data],MATCH(LARGE(IF(COUNTIF($N$1:N9,tblFornos[Data])=0,COUNTIFS(tblFornos[Data],tblFornos[Data])),1),IF(COUNTIF($N$1:N9,tblFornos[Data])=0,COUNTIFS(tblFornos[Data],tblFornos[Data])),0)),"")</f>
        <v/>
      </c>
      <c r="O10">
        <f>IF(N10="","",COUNTIFS(tblFornos[Data],N10))</f>
        <v/>
      </c>
      <c r="T10">
        <f>IFERROR(INDEX(tblFornos[Forno],MATCH(LARGE(IF((tblFornos[Tipo]="Operacao")*(COUNTIF($T$1:T9,tblFornos[Forno])=0),COUNTIFS(tblFornos[Forno],tblFornos[Forno],tblFornos[Tipo],"Operacao")),1),IF((tblFornos[Tipo]="Operacao")*(COUNTIF($T$1:T9,tblFornos[Forno])=0),COUNTIFS(tblFornos[Forno],tblFornos[Forno],tblFornos[Tipo],"Operacao")),0)),"")</f>
        <v/>
      </c>
      <c r="U10">
        <f>IF(T10="","",COUNTIFS(tblFornos[Forno],T10,tblFornos[Tipo],"Operacao"))</f>
        <v/>
      </c>
      <c r="V10">
        <f>IFERROR(INDEX(tblFornos[Forno],MATCH(LARGE(IF((tblFornos[Tipo]="Manutencao")*(COUNTIF($V$1:V9,tblFornos[Forno])=0),COUNTIFS(tblFornos[Forno],tblFornos[Forno],tblFornos[Tipo],"Manutencao")),1),IF((tblFornos[Tipo]="Manutencao")*(COUNTIF($V$1:V9,tblFornos[Forno])=0),COUNTIFS(tblFornos[Forno],tblFornos[Forno],tblFornos[Tipo],"Manutencao")),0)),"")</f>
        <v/>
      </c>
      <c r="W10">
        <f>IF(V10="","",COUNTIFS(tblFornos[Forno],V10,tblFornos[Tipo],"Manutencao"))</f>
        <v/>
      </c>
      <c r="X10">
        <f>IFERROR(INDEX(tblFornos[Forno],MATCH(LARGE(IF((tblFornos[Tipo]="Falha")*(COUNTIF($X$1:X9,tblFornos[Forno])=0),COUNTIFS(tblFornos[Forno],tblFornos[Forno],tblFornos[Tipo],"Falha")),1),IF((tblFornos[Tipo]="Falha")*(COUNTIF($X$1:X9,tblFornos[Forno])=0),COUNTIFS(tblFornos[Forno],tblFornos[Forno],tblFornos[Tipo],"Falha")),0)),"")</f>
        <v/>
      </c>
      <c r="Y10">
        <f>IF(X10="","",COUNTIFS(tblFornos[Forno],X10,tblFornos[Tipo],"Falha"))</f>
        <v/>
      </c>
      <c r="Z10">
        <f>IFERROR(INDEX(tblFornos[Forno],MATCH(LARGE(IF((tblFornos[Tipo]="Inspecao")*(COUNTIF($Z$1:Z9,tblFornos[Forno])=0),COUNTIFS(tblFornos[Forno],tblFornos[Forno],tblFornos[Tipo],"Inspecao")),1),IF((tblFornos[Tipo]="Inspecao")*(COUNTIF($Z$1:Z9,tblFornos[Forno])=0),COUNTIFS(tblFornos[Forno],tblFornos[Forno],tblFornos[Tipo],"Inspecao")),0)),"")</f>
        <v/>
      </c>
      <c r="AA10">
        <f>IF(Z10="","",COUNTIFS(tblFornos[Forno],Z10,tblFornos[Tipo],"Inspecao"))</f>
        <v/>
      </c>
      <c r="AB1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">
        <f>IFERROR(INDEX(tblFornos[ID],AGGREGATE(15,6,(ROW($AB$2:$AB$201)-1)/($AB$2:$AB$201=1),ROWS($AC$2:AC10))),"")</f>
        <v/>
      </c>
      <c r="AD10" s="41">
        <f>IF($AC10="","",INDEX(tblFornos[Data],MATCH($AC10,tblFornos[ID],0)))</f>
        <v/>
      </c>
      <c r="AE10">
        <f>IF($AC10="","",INDEX(tblFornos[Forno],MATCH($AC10,tblFornos[ID],0)))</f>
        <v/>
      </c>
      <c r="AF10">
        <f>IF($AC10="","",INDEX(tblFornos[Tipo],MATCH($AC10,tblFornos[ID],0)))</f>
        <v/>
      </c>
      <c r="AG10">
        <f>IF($AC10="","",INDEX(tblFornos[Lado],MATCH($AC10,tblFornos[ID],0)))</f>
        <v/>
      </c>
    </row>
    <row r="11">
      <c r="A11" s="15" t="n">
        <v>10</v>
      </c>
      <c r="B11" s="38" t="n">
        <v>46130</v>
      </c>
      <c r="C11" s="15" t="n">
        <v>102</v>
      </c>
      <c r="D11" s="15" t="inlineStr">
        <is>
          <t>Inspecao</t>
        </is>
      </c>
      <c r="E11" s="15" t="inlineStr">
        <is>
          <t>A</t>
        </is>
      </c>
      <c r="J11" t="inlineStr">
        <is>
          <t>Out</t>
        </is>
      </c>
      <c r="K11" t="n">
        <v>10</v>
      </c>
      <c r="L11">
        <f>COUNTIFS(tblFornos[Data],"&gt;="&amp;DATE(YEAR(TODAY()),10,1),tblFornos[Data],"&lt;"&amp;DATE(YEAR(TODAY()),11,1))</f>
        <v/>
      </c>
      <c r="N11" s="40">
        <f>IFERROR(INDEX(tblFornos[Data],MATCH(LARGE(IF(COUNTIF($N$1:N10,tblFornos[Data])=0,COUNTIFS(tblFornos[Data],tblFornos[Data])),1),IF(COUNTIF($N$1:N10,tblFornos[Data])=0,COUNTIFS(tblFornos[Data],tblFornos[Data])),0)),"")</f>
        <v/>
      </c>
      <c r="O11">
        <f>IF(N11="","",COUNTIFS(tblFornos[Data],N11))</f>
        <v/>
      </c>
      <c r="T11">
        <f>IFERROR(INDEX(tblFornos[Forno],MATCH(LARGE(IF((tblFornos[Tipo]="Operacao")*(COUNTIF($T$1:T10,tblFornos[Forno])=0),COUNTIFS(tblFornos[Forno],tblFornos[Forno],tblFornos[Tipo],"Operacao")),1),IF((tblFornos[Tipo]="Operacao")*(COUNTIF($T$1:T10,tblFornos[Forno])=0),COUNTIFS(tblFornos[Forno],tblFornos[Forno],tblFornos[Tipo],"Operacao")),0)),"")</f>
        <v/>
      </c>
      <c r="U11">
        <f>IF(T11="","",COUNTIFS(tblFornos[Forno],T11,tblFornos[Tipo],"Operacao"))</f>
        <v/>
      </c>
      <c r="V11">
        <f>IFERROR(INDEX(tblFornos[Forno],MATCH(LARGE(IF((tblFornos[Tipo]="Manutencao")*(COUNTIF($V$1:V10,tblFornos[Forno])=0),COUNTIFS(tblFornos[Forno],tblFornos[Forno],tblFornos[Tipo],"Manutencao")),1),IF((tblFornos[Tipo]="Manutencao")*(COUNTIF($V$1:V10,tblFornos[Forno])=0),COUNTIFS(tblFornos[Forno],tblFornos[Forno],tblFornos[Tipo],"Manutencao")),0)),"")</f>
        <v/>
      </c>
      <c r="W11">
        <f>IF(V11="","",COUNTIFS(tblFornos[Forno],V11,tblFornos[Tipo],"Manutencao"))</f>
        <v/>
      </c>
      <c r="X11">
        <f>IFERROR(INDEX(tblFornos[Forno],MATCH(LARGE(IF((tblFornos[Tipo]="Falha")*(COUNTIF($X$1:X10,tblFornos[Forno])=0),COUNTIFS(tblFornos[Forno],tblFornos[Forno],tblFornos[Tipo],"Falha")),1),IF((tblFornos[Tipo]="Falha")*(COUNTIF($X$1:X10,tblFornos[Forno])=0),COUNTIFS(tblFornos[Forno],tblFornos[Forno],tblFornos[Tipo],"Falha")),0)),"")</f>
        <v/>
      </c>
      <c r="Y11">
        <f>IF(X11="","",COUNTIFS(tblFornos[Forno],X11,tblFornos[Tipo],"Falha"))</f>
        <v/>
      </c>
      <c r="Z11">
        <f>IFERROR(INDEX(tblFornos[Forno],MATCH(LARGE(IF((tblFornos[Tipo]="Inspecao")*(COUNTIF($Z$1:Z10,tblFornos[Forno])=0),COUNTIFS(tblFornos[Forno],tblFornos[Forno],tblFornos[Tipo],"Inspecao")),1),IF((tblFornos[Tipo]="Inspecao")*(COUNTIF($Z$1:Z10,tblFornos[Forno])=0),COUNTIFS(tblFornos[Forno],tblFornos[Forno],tblFornos[Tipo],"Inspecao")),0)),"")</f>
        <v/>
      </c>
      <c r="AA11">
        <f>IF(Z11="","",COUNTIFS(tblFornos[Forno],Z11,tblFornos[Tipo],"Inspecao"))</f>
        <v/>
      </c>
      <c r="AB1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">
        <f>IFERROR(INDEX(tblFornos[ID],AGGREGATE(15,6,(ROW($AB$2:$AB$201)-1)/($AB$2:$AB$201=1),ROWS($AC$2:AC11))),"")</f>
        <v/>
      </c>
      <c r="AD11" s="41">
        <f>IF($AC11="","",INDEX(tblFornos[Data],MATCH($AC11,tblFornos[ID],0)))</f>
        <v/>
      </c>
      <c r="AE11">
        <f>IF($AC11="","",INDEX(tblFornos[Forno],MATCH($AC11,tblFornos[ID],0)))</f>
        <v/>
      </c>
      <c r="AF11">
        <f>IF($AC11="","",INDEX(tblFornos[Tipo],MATCH($AC11,tblFornos[ID],0)))</f>
        <v/>
      </c>
      <c r="AG11">
        <f>IF($AC11="","",INDEX(tblFornos[Lado],MATCH($AC11,tblFornos[ID],0)))</f>
        <v/>
      </c>
    </row>
    <row r="12">
      <c r="A12" s="15" t="n">
        <v>11</v>
      </c>
      <c r="B12" s="38" t="n">
        <v>46143</v>
      </c>
      <c r="C12" s="15" t="n">
        <v>104</v>
      </c>
      <c r="D12" s="15" t="inlineStr">
        <is>
          <t>Operacao</t>
        </is>
      </c>
      <c r="E12" s="15" t="inlineStr">
        <is>
          <t>A</t>
        </is>
      </c>
      <c r="J12" t="inlineStr">
        <is>
          <t>Nov</t>
        </is>
      </c>
      <c r="K12" t="n">
        <v>11</v>
      </c>
      <c r="L12">
        <f>COUNTIFS(tblFornos[Data],"&gt;="&amp;DATE(YEAR(TODAY()),11,1),tblFornos[Data],"&lt;"&amp;DATE(YEAR(TODAY()),12,1))</f>
        <v/>
      </c>
      <c r="T12">
        <f>IFERROR(INDEX(tblFornos[Forno],MATCH(LARGE(IF((tblFornos[Tipo]="Operacao")*(COUNTIF($T$1:T11,tblFornos[Forno])=0),COUNTIFS(tblFornos[Forno],tblFornos[Forno],tblFornos[Tipo],"Operacao")),1),IF((tblFornos[Tipo]="Operacao")*(COUNTIF($T$1:T11,tblFornos[Forno])=0),COUNTIFS(tblFornos[Forno],tblFornos[Forno],tblFornos[Tipo],"Operacao")),0)),"")</f>
        <v/>
      </c>
      <c r="U12">
        <f>IF(T12="","",COUNTIFS(tblFornos[Forno],T12,tblFornos[Tipo],"Operacao"))</f>
        <v/>
      </c>
      <c r="V12">
        <f>IFERROR(INDEX(tblFornos[Forno],MATCH(LARGE(IF((tblFornos[Tipo]="Manutencao")*(COUNTIF($V$1:V11,tblFornos[Forno])=0),COUNTIFS(tblFornos[Forno],tblFornos[Forno],tblFornos[Tipo],"Manutencao")),1),IF((tblFornos[Tipo]="Manutencao")*(COUNTIF($V$1:V11,tblFornos[Forno])=0),COUNTIFS(tblFornos[Forno],tblFornos[Forno],tblFornos[Tipo],"Manutencao")),0)),"")</f>
        <v/>
      </c>
      <c r="W12">
        <f>IF(V12="","",COUNTIFS(tblFornos[Forno],V12,tblFornos[Tipo],"Manutencao"))</f>
        <v/>
      </c>
      <c r="X12">
        <f>IFERROR(INDEX(tblFornos[Forno],MATCH(LARGE(IF((tblFornos[Tipo]="Falha")*(COUNTIF($X$1:X11,tblFornos[Forno])=0),COUNTIFS(tblFornos[Forno],tblFornos[Forno],tblFornos[Tipo],"Falha")),1),IF((tblFornos[Tipo]="Falha")*(COUNTIF($X$1:X11,tblFornos[Forno])=0),COUNTIFS(tblFornos[Forno],tblFornos[Forno],tblFornos[Tipo],"Falha")),0)),"")</f>
        <v/>
      </c>
      <c r="Y12">
        <f>IF(X12="","",COUNTIFS(tblFornos[Forno],X12,tblFornos[Tipo],"Falha"))</f>
        <v/>
      </c>
      <c r="Z12">
        <f>IFERROR(INDEX(tblFornos[Forno],MATCH(LARGE(IF((tblFornos[Tipo]="Inspecao")*(COUNTIF($Z$1:Z11,tblFornos[Forno])=0),COUNTIFS(tblFornos[Forno],tblFornos[Forno],tblFornos[Tipo],"Inspecao")),1),IF((tblFornos[Tipo]="Inspecao")*(COUNTIF($Z$1:Z11,tblFornos[Forno])=0),COUNTIFS(tblFornos[Forno],tblFornos[Forno],tblFornos[Tipo],"Inspecao")),0)),"")</f>
        <v/>
      </c>
      <c r="AA12">
        <f>IF(Z12="","",COUNTIFS(tblFornos[Forno],Z12,tblFornos[Tipo],"Inspecao"))</f>
        <v/>
      </c>
      <c r="AB1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">
        <f>IFERROR(INDEX(tblFornos[ID],AGGREGATE(15,6,(ROW($AB$2:$AB$201)-1)/($AB$2:$AB$201=1),ROWS($AC$2:AC12))),"")</f>
        <v/>
      </c>
      <c r="AD12" s="41">
        <f>IF($AC12="","",INDEX(tblFornos[Data],MATCH($AC12,tblFornos[ID],0)))</f>
        <v/>
      </c>
      <c r="AE12">
        <f>IF($AC12="","",INDEX(tblFornos[Forno],MATCH($AC12,tblFornos[ID],0)))</f>
        <v/>
      </c>
      <c r="AF12">
        <f>IF($AC12="","",INDEX(tblFornos[Tipo],MATCH($AC12,tblFornos[ID],0)))</f>
        <v/>
      </c>
      <c r="AG12">
        <f>IF($AC12="","",INDEX(tblFornos[Lado],MATCH($AC12,tblFornos[ID],0)))</f>
        <v/>
      </c>
    </row>
    <row r="13">
      <c r="A13" s="15" t="n">
        <v>12</v>
      </c>
      <c r="B13" s="38" t="n">
        <v>46143</v>
      </c>
      <c r="C13" s="15" t="n">
        <v>105</v>
      </c>
      <c r="D13" s="15" t="inlineStr">
        <is>
          <t>Manutencao</t>
        </is>
      </c>
      <c r="E13" s="15" t="inlineStr">
        <is>
          <t>B</t>
        </is>
      </c>
      <c r="J13" t="inlineStr">
        <is>
          <t>Dez</t>
        </is>
      </c>
      <c r="K13" t="n">
        <v>12</v>
      </c>
      <c r="L13">
        <f>COUNTIFS(tblFornos[Data],"&gt;="&amp;DATE(YEAR(TODAY()),12,1),tblFornos[Data],"&lt;"&amp;DATE(YEAR(TODAY()),13,1))</f>
        <v/>
      </c>
      <c r="T13">
        <f>IFERROR(INDEX(tblFornos[Forno],MATCH(LARGE(IF((tblFornos[Tipo]="Operacao")*(COUNTIF($T$1:T12,tblFornos[Forno])=0),COUNTIFS(tblFornos[Forno],tblFornos[Forno],tblFornos[Tipo],"Operacao")),1),IF((tblFornos[Tipo]="Operacao")*(COUNTIF($T$1:T12,tblFornos[Forno])=0),COUNTIFS(tblFornos[Forno],tblFornos[Forno],tblFornos[Tipo],"Operacao")),0)),"")</f>
        <v/>
      </c>
      <c r="U13">
        <f>IF(T13="","",COUNTIFS(tblFornos[Forno],T13,tblFornos[Tipo],"Operacao"))</f>
        <v/>
      </c>
      <c r="V13">
        <f>IFERROR(INDEX(tblFornos[Forno],MATCH(LARGE(IF((tblFornos[Tipo]="Manutencao")*(COUNTIF($V$1:V12,tblFornos[Forno])=0),COUNTIFS(tblFornos[Forno],tblFornos[Forno],tblFornos[Tipo],"Manutencao")),1),IF((tblFornos[Tipo]="Manutencao")*(COUNTIF($V$1:V12,tblFornos[Forno])=0),COUNTIFS(tblFornos[Forno],tblFornos[Forno],tblFornos[Tipo],"Manutencao")),0)),"")</f>
        <v/>
      </c>
      <c r="W13">
        <f>IF(V13="","",COUNTIFS(tblFornos[Forno],V13,tblFornos[Tipo],"Manutencao"))</f>
        <v/>
      </c>
      <c r="X13">
        <f>IFERROR(INDEX(tblFornos[Forno],MATCH(LARGE(IF((tblFornos[Tipo]="Falha")*(COUNTIF($X$1:X12,tblFornos[Forno])=0),COUNTIFS(tblFornos[Forno],tblFornos[Forno],tblFornos[Tipo],"Falha")),1),IF((tblFornos[Tipo]="Falha")*(COUNTIF($X$1:X12,tblFornos[Forno])=0),COUNTIFS(tblFornos[Forno],tblFornos[Forno],tblFornos[Tipo],"Falha")),0)),"")</f>
        <v/>
      </c>
      <c r="Y13">
        <f>IF(X13="","",COUNTIFS(tblFornos[Forno],X13,tblFornos[Tipo],"Falha"))</f>
        <v/>
      </c>
      <c r="Z13">
        <f>IFERROR(INDEX(tblFornos[Forno],MATCH(LARGE(IF((tblFornos[Tipo]="Inspecao")*(COUNTIF($Z$1:Z12,tblFornos[Forno])=0),COUNTIFS(tblFornos[Forno],tblFornos[Forno],tblFornos[Tipo],"Inspecao")),1),IF((tblFornos[Tipo]="Inspecao")*(COUNTIF($Z$1:Z12,tblFornos[Forno])=0),COUNTIFS(tblFornos[Forno],tblFornos[Forno],tblFornos[Tipo],"Inspecao")),0)),"")</f>
        <v/>
      </c>
      <c r="AA13">
        <f>IF(Z13="","",COUNTIFS(tblFornos[Forno],Z13,tblFornos[Tipo],"Inspecao"))</f>
        <v/>
      </c>
      <c r="AB1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">
        <f>IFERROR(INDEX(tblFornos[ID],AGGREGATE(15,6,(ROW($AB$2:$AB$201)-1)/($AB$2:$AB$201=1),ROWS($AC$2:AC13))),"")</f>
        <v/>
      </c>
      <c r="AD13" s="41">
        <f>IF($AC13="","",INDEX(tblFornos[Data],MATCH($AC13,tblFornos[ID],0)))</f>
        <v/>
      </c>
      <c r="AE13">
        <f>IF($AC13="","",INDEX(tblFornos[Forno],MATCH($AC13,tblFornos[ID],0)))</f>
        <v/>
      </c>
      <c r="AF13">
        <f>IF($AC13="","",INDEX(tblFornos[Tipo],MATCH($AC13,tblFornos[ID],0)))</f>
        <v/>
      </c>
      <c r="AG13">
        <f>IF($AC13="","",INDEX(tblFornos[Lado],MATCH($AC13,tblFornos[ID],0)))</f>
        <v/>
      </c>
    </row>
    <row r="14">
      <c r="T14">
        <f>IFERROR(INDEX(tblFornos[Forno],MATCH(LARGE(IF((tblFornos[Tipo]="Operacao")*(COUNTIF($T$1:T13,tblFornos[Forno])=0),COUNTIFS(tblFornos[Forno],tblFornos[Forno],tblFornos[Tipo],"Operacao")),1),IF((tblFornos[Tipo]="Operacao")*(COUNTIF($T$1:T13,tblFornos[Forno])=0),COUNTIFS(tblFornos[Forno],tblFornos[Forno],tblFornos[Tipo],"Operacao")),0)),"")</f>
        <v/>
      </c>
      <c r="U14">
        <f>IF(T14="","",COUNTIFS(tblFornos[Forno],T14,tblFornos[Tipo],"Operacao"))</f>
        <v/>
      </c>
      <c r="V14">
        <f>IFERROR(INDEX(tblFornos[Forno],MATCH(LARGE(IF((tblFornos[Tipo]="Manutencao")*(COUNTIF($V$1:V13,tblFornos[Forno])=0),COUNTIFS(tblFornos[Forno],tblFornos[Forno],tblFornos[Tipo],"Manutencao")),1),IF((tblFornos[Tipo]="Manutencao")*(COUNTIF($V$1:V13,tblFornos[Forno])=0),COUNTIFS(tblFornos[Forno],tblFornos[Forno],tblFornos[Tipo],"Manutencao")),0)),"")</f>
        <v/>
      </c>
      <c r="W14">
        <f>IF(V14="","",COUNTIFS(tblFornos[Forno],V14,tblFornos[Tipo],"Manutencao"))</f>
        <v/>
      </c>
      <c r="X14">
        <f>IFERROR(INDEX(tblFornos[Forno],MATCH(LARGE(IF((tblFornos[Tipo]="Falha")*(COUNTIF($X$1:X13,tblFornos[Forno])=0),COUNTIFS(tblFornos[Forno],tblFornos[Forno],tblFornos[Tipo],"Falha")),1),IF((tblFornos[Tipo]="Falha")*(COUNTIF($X$1:X13,tblFornos[Forno])=0),COUNTIFS(tblFornos[Forno],tblFornos[Forno],tblFornos[Tipo],"Falha")),0)),"")</f>
        <v/>
      </c>
      <c r="Y14">
        <f>IF(X14="","",COUNTIFS(tblFornos[Forno],X14,tblFornos[Tipo],"Falha"))</f>
        <v/>
      </c>
      <c r="Z14">
        <f>IFERROR(INDEX(tblFornos[Forno],MATCH(LARGE(IF((tblFornos[Tipo]="Inspecao")*(COUNTIF($Z$1:Z13,tblFornos[Forno])=0),COUNTIFS(tblFornos[Forno],tblFornos[Forno],tblFornos[Tipo],"Inspecao")),1),IF((tblFornos[Tipo]="Inspecao")*(COUNTIF($Z$1:Z13,tblFornos[Forno])=0),COUNTIFS(tblFornos[Forno],tblFornos[Forno],tblFornos[Tipo],"Inspecao")),0)),"")</f>
        <v/>
      </c>
      <c r="AA14">
        <f>IF(Z14="","",COUNTIFS(tblFornos[Forno],Z14,tblFornos[Tipo],"Inspecao"))</f>
        <v/>
      </c>
      <c r="AB1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">
        <f>IFERROR(INDEX(tblFornos[ID],AGGREGATE(15,6,(ROW($AB$2:$AB$201)-1)/($AB$2:$AB$201=1),ROWS($AC$2:AC14))),"")</f>
        <v/>
      </c>
      <c r="AD14" s="41">
        <f>IF($AC14="","",INDEX(tblFornos[Data],MATCH($AC14,tblFornos[ID],0)))</f>
        <v/>
      </c>
      <c r="AE14">
        <f>IF($AC14="","",INDEX(tblFornos[Forno],MATCH($AC14,tblFornos[ID],0)))</f>
        <v/>
      </c>
      <c r="AF14">
        <f>IF($AC14="","",INDEX(tblFornos[Tipo],MATCH($AC14,tblFornos[ID],0)))</f>
        <v/>
      </c>
      <c r="AG14">
        <f>IF($AC14="","",INDEX(tblFornos[Lado],MATCH($AC14,tblFornos[ID],0)))</f>
        <v/>
      </c>
    </row>
    <row r="15">
      <c r="T15">
        <f>IFERROR(INDEX(tblFornos[Forno],MATCH(LARGE(IF((tblFornos[Tipo]="Operacao")*(COUNTIF($T$1:T14,tblFornos[Forno])=0),COUNTIFS(tblFornos[Forno],tblFornos[Forno],tblFornos[Tipo],"Operacao")),1),IF((tblFornos[Tipo]="Operacao")*(COUNTIF($T$1:T14,tblFornos[Forno])=0),COUNTIFS(tblFornos[Forno],tblFornos[Forno],tblFornos[Tipo],"Operacao")),0)),"")</f>
        <v/>
      </c>
      <c r="U15">
        <f>IF(T15="","",COUNTIFS(tblFornos[Forno],T15,tblFornos[Tipo],"Operacao"))</f>
        <v/>
      </c>
      <c r="V15">
        <f>IFERROR(INDEX(tblFornos[Forno],MATCH(LARGE(IF((tblFornos[Tipo]="Manutencao")*(COUNTIF($V$1:V14,tblFornos[Forno])=0),COUNTIFS(tblFornos[Forno],tblFornos[Forno],tblFornos[Tipo],"Manutencao")),1),IF((tblFornos[Tipo]="Manutencao")*(COUNTIF($V$1:V14,tblFornos[Forno])=0),COUNTIFS(tblFornos[Forno],tblFornos[Forno],tblFornos[Tipo],"Manutencao")),0)),"")</f>
        <v/>
      </c>
      <c r="W15">
        <f>IF(V15="","",COUNTIFS(tblFornos[Forno],V15,tblFornos[Tipo],"Manutencao"))</f>
        <v/>
      </c>
      <c r="X15">
        <f>IFERROR(INDEX(tblFornos[Forno],MATCH(LARGE(IF((tblFornos[Tipo]="Falha")*(COUNTIF($X$1:X14,tblFornos[Forno])=0),COUNTIFS(tblFornos[Forno],tblFornos[Forno],tblFornos[Tipo],"Falha")),1),IF((tblFornos[Tipo]="Falha")*(COUNTIF($X$1:X14,tblFornos[Forno])=0),COUNTIFS(tblFornos[Forno],tblFornos[Forno],tblFornos[Tipo],"Falha")),0)),"")</f>
        <v/>
      </c>
      <c r="Y15">
        <f>IF(X15="","",COUNTIFS(tblFornos[Forno],X15,tblFornos[Tipo],"Falha"))</f>
        <v/>
      </c>
      <c r="Z15">
        <f>IFERROR(INDEX(tblFornos[Forno],MATCH(LARGE(IF((tblFornos[Tipo]="Inspecao")*(COUNTIF($Z$1:Z14,tblFornos[Forno])=0),COUNTIFS(tblFornos[Forno],tblFornos[Forno],tblFornos[Tipo],"Inspecao")),1),IF((tblFornos[Tipo]="Inspecao")*(COUNTIF($Z$1:Z14,tblFornos[Forno])=0),COUNTIFS(tblFornos[Forno],tblFornos[Forno],tblFornos[Tipo],"Inspecao")),0)),"")</f>
        <v/>
      </c>
      <c r="AA15">
        <f>IF(Z15="","",COUNTIFS(tblFornos[Forno],Z15,tblFornos[Tipo],"Inspecao"))</f>
        <v/>
      </c>
      <c r="AB1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">
        <f>IFERROR(INDEX(tblFornos[ID],AGGREGATE(15,6,(ROW($AB$2:$AB$201)-1)/($AB$2:$AB$201=1),ROWS($AC$2:AC15))),"")</f>
        <v/>
      </c>
      <c r="AD15" s="41">
        <f>IF($AC15="","",INDEX(tblFornos[Data],MATCH($AC15,tblFornos[ID],0)))</f>
        <v/>
      </c>
      <c r="AE15">
        <f>IF($AC15="","",INDEX(tblFornos[Forno],MATCH($AC15,tblFornos[ID],0)))</f>
        <v/>
      </c>
      <c r="AF15">
        <f>IF($AC15="","",INDEX(tblFornos[Tipo],MATCH($AC15,tblFornos[ID],0)))</f>
        <v/>
      </c>
      <c r="AG15">
        <f>IF($AC15="","",INDEX(tblFornos[Lado],MATCH($AC15,tblFornos[ID],0)))</f>
        <v/>
      </c>
    </row>
    <row r="16">
      <c r="T16">
        <f>IFERROR(INDEX(tblFornos[Forno],MATCH(LARGE(IF((tblFornos[Tipo]="Operacao")*(COUNTIF($T$1:T15,tblFornos[Forno])=0),COUNTIFS(tblFornos[Forno],tblFornos[Forno],tblFornos[Tipo],"Operacao")),1),IF((tblFornos[Tipo]="Operacao")*(COUNTIF($T$1:T15,tblFornos[Forno])=0),COUNTIFS(tblFornos[Forno],tblFornos[Forno],tblFornos[Tipo],"Operacao")),0)),"")</f>
        <v/>
      </c>
      <c r="U16">
        <f>IF(T16="","",COUNTIFS(tblFornos[Forno],T16,tblFornos[Tipo],"Operacao"))</f>
        <v/>
      </c>
      <c r="V16">
        <f>IFERROR(INDEX(tblFornos[Forno],MATCH(LARGE(IF((tblFornos[Tipo]="Manutencao")*(COUNTIF($V$1:V15,tblFornos[Forno])=0),COUNTIFS(tblFornos[Forno],tblFornos[Forno],tblFornos[Tipo],"Manutencao")),1),IF((tblFornos[Tipo]="Manutencao")*(COUNTIF($V$1:V15,tblFornos[Forno])=0),COUNTIFS(tblFornos[Forno],tblFornos[Forno],tblFornos[Tipo],"Manutencao")),0)),"")</f>
        <v/>
      </c>
      <c r="W16">
        <f>IF(V16="","",COUNTIFS(tblFornos[Forno],V16,tblFornos[Tipo],"Manutencao"))</f>
        <v/>
      </c>
      <c r="X16">
        <f>IFERROR(INDEX(tblFornos[Forno],MATCH(LARGE(IF((tblFornos[Tipo]="Falha")*(COUNTIF($X$1:X15,tblFornos[Forno])=0),COUNTIFS(tblFornos[Forno],tblFornos[Forno],tblFornos[Tipo],"Falha")),1),IF((tblFornos[Tipo]="Falha")*(COUNTIF($X$1:X15,tblFornos[Forno])=0),COUNTIFS(tblFornos[Forno],tblFornos[Forno],tblFornos[Tipo],"Falha")),0)),"")</f>
        <v/>
      </c>
      <c r="Y16">
        <f>IF(X16="","",COUNTIFS(tblFornos[Forno],X16,tblFornos[Tipo],"Falha"))</f>
        <v/>
      </c>
      <c r="Z16">
        <f>IFERROR(INDEX(tblFornos[Forno],MATCH(LARGE(IF((tblFornos[Tipo]="Inspecao")*(COUNTIF($Z$1:Z15,tblFornos[Forno])=0),COUNTIFS(tblFornos[Forno],tblFornos[Forno],tblFornos[Tipo],"Inspecao")),1),IF((tblFornos[Tipo]="Inspecao")*(COUNTIF($Z$1:Z15,tblFornos[Forno])=0),COUNTIFS(tblFornos[Forno],tblFornos[Forno],tblFornos[Tipo],"Inspecao")),0)),"")</f>
        <v/>
      </c>
      <c r="AA16">
        <f>IF(Z16="","",COUNTIFS(tblFornos[Forno],Z16,tblFornos[Tipo],"Inspecao"))</f>
        <v/>
      </c>
      <c r="AB1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">
        <f>IFERROR(INDEX(tblFornos[ID],AGGREGATE(15,6,(ROW($AB$2:$AB$201)-1)/($AB$2:$AB$201=1),ROWS($AC$2:AC16))),"")</f>
        <v/>
      </c>
      <c r="AD16" s="41">
        <f>IF($AC16="","",INDEX(tblFornos[Data],MATCH($AC16,tblFornos[ID],0)))</f>
        <v/>
      </c>
      <c r="AE16">
        <f>IF($AC16="","",INDEX(tblFornos[Forno],MATCH($AC16,tblFornos[ID],0)))</f>
        <v/>
      </c>
      <c r="AF16">
        <f>IF($AC16="","",INDEX(tblFornos[Tipo],MATCH($AC16,tblFornos[ID],0)))</f>
        <v/>
      </c>
      <c r="AG16">
        <f>IF($AC16="","",INDEX(tblFornos[Lado],MATCH($AC16,tblFornos[ID],0)))</f>
        <v/>
      </c>
    </row>
    <row r="17">
      <c r="T17">
        <f>IFERROR(INDEX(tblFornos[Forno],MATCH(LARGE(IF((tblFornos[Tipo]="Operacao")*(COUNTIF($T$1:T16,tblFornos[Forno])=0),COUNTIFS(tblFornos[Forno],tblFornos[Forno],tblFornos[Tipo],"Operacao")),1),IF((tblFornos[Tipo]="Operacao")*(COUNTIF($T$1:T16,tblFornos[Forno])=0),COUNTIFS(tblFornos[Forno],tblFornos[Forno],tblFornos[Tipo],"Operacao")),0)),"")</f>
        <v/>
      </c>
      <c r="U17">
        <f>IF(T17="","",COUNTIFS(tblFornos[Forno],T17,tblFornos[Tipo],"Operacao"))</f>
        <v/>
      </c>
      <c r="V17">
        <f>IFERROR(INDEX(tblFornos[Forno],MATCH(LARGE(IF((tblFornos[Tipo]="Manutencao")*(COUNTIF($V$1:V16,tblFornos[Forno])=0),COUNTIFS(tblFornos[Forno],tblFornos[Forno],tblFornos[Tipo],"Manutencao")),1),IF((tblFornos[Tipo]="Manutencao")*(COUNTIF($V$1:V16,tblFornos[Forno])=0),COUNTIFS(tblFornos[Forno],tblFornos[Forno],tblFornos[Tipo],"Manutencao")),0)),"")</f>
        <v/>
      </c>
      <c r="W17">
        <f>IF(V17="","",COUNTIFS(tblFornos[Forno],V17,tblFornos[Tipo],"Manutencao"))</f>
        <v/>
      </c>
      <c r="X17">
        <f>IFERROR(INDEX(tblFornos[Forno],MATCH(LARGE(IF((tblFornos[Tipo]="Falha")*(COUNTIF($X$1:X16,tblFornos[Forno])=0),COUNTIFS(tblFornos[Forno],tblFornos[Forno],tblFornos[Tipo],"Falha")),1),IF((tblFornos[Tipo]="Falha")*(COUNTIF($X$1:X16,tblFornos[Forno])=0),COUNTIFS(tblFornos[Forno],tblFornos[Forno],tblFornos[Tipo],"Falha")),0)),"")</f>
        <v/>
      </c>
      <c r="Y17">
        <f>IF(X17="","",COUNTIFS(tblFornos[Forno],X17,tblFornos[Tipo],"Falha"))</f>
        <v/>
      </c>
      <c r="Z17">
        <f>IFERROR(INDEX(tblFornos[Forno],MATCH(LARGE(IF((tblFornos[Tipo]="Inspecao")*(COUNTIF($Z$1:Z16,tblFornos[Forno])=0),COUNTIFS(tblFornos[Forno],tblFornos[Forno],tblFornos[Tipo],"Inspecao")),1),IF((tblFornos[Tipo]="Inspecao")*(COUNTIF($Z$1:Z16,tblFornos[Forno])=0),COUNTIFS(tblFornos[Forno],tblFornos[Forno],tblFornos[Tipo],"Inspecao")),0)),"")</f>
        <v/>
      </c>
      <c r="AA17">
        <f>IF(Z17="","",COUNTIFS(tblFornos[Forno],Z17,tblFornos[Tipo],"Inspecao"))</f>
        <v/>
      </c>
      <c r="AB1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">
        <f>IFERROR(INDEX(tblFornos[ID],AGGREGATE(15,6,(ROW($AB$2:$AB$201)-1)/($AB$2:$AB$201=1),ROWS($AC$2:AC17))),"")</f>
        <v/>
      </c>
      <c r="AD17" s="41">
        <f>IF($AC17="","",INDEX(tblFornos[Data],MATCH($AC17,tblFornos[ID],0)))</f>
        <v/>
      </c>
      <c r="AE17">
        <f>IF($AC17="","",INDEX(tblFornos[Forno],MATCH($AC17,tblFornos[ID],0)))</f>
        <v/>
      </c>
      <c r="AF17">
        <f>IF($AC17="","",INDEX(tblFornos[Tipo],MATCH($AC17,tblFornos[ID],0)))</f>
        <v/>
      </c>
      <c r="AG17">
        <f>IF($AC17="","",INDEX(tblFornos[Lado],MATCH($AC17,tblFornos[ID],0)))</f>
        <v/>
      </c>
    </row>
    <row r="18">
      <c r="T18">
        <f>IFERROR(INDEX(tblFornos[Forno],MATCH(LARGE(IF((tblFornos[Tipo]="Operacao")*(COUNTIF($T$1:T17,tblFornos[Forno])=0),COUNTIFS(tblFornos[Forno],tblFornos[Forno],tblFornos[Tipo],"Operacao")),1),IF((tblFornos[Tipo]="Operacao")*(COUNTIF($T$1:T17,tblFornos[Forno])=0),COUNTIFS(tblFornos[Forno],tblFornos[Forno],tblFornos[Tipo],"Operacao")),0)),"")</f>
        <v/>
      </c>
      <c r="U18">
        <f>IF(T18="","",COUNTIFS(tblFornos[Forno],T18,tblFornos[Tipo],"Operacao"))</f>
        <v/>
      </c>
      <c r="V18">
        <f>IFERROR(INDEX(tblFornos[Forno],MATCH(LARGE(IF((tblFornos[Tipo]="Manutencao")*(COUNTIF($V$1:V17,tblFornos[Forno])=0),COUNTIFS(tblFornos[Forno],tblFornos[Forno],tblFornos[Tipo],"Manutencao")),1),IF((tblFornos[Tipo]="Manutencao")*(COUNTIF($V$1:V17,tblFornos[Forno])=0),COUNTIFS(tblFornos[Forno],tblFornos[Forno],tblFornos[Tipo],"Manutencao")),0)),"")</f>
        <v/>
      </c>
      <c r="W18">
        <f>IF(V18="","",COUNTIFS(tblFornos[Forno],V18,tblFornos[Tipo],"Manutencao"))</f>
        <v/>
      </c>
      <c r="X18">
        <f>IFERROR(INDEX(tblFornos[Forno],MATCH(LARGE(IF((tblFornos[Tipo]="Falha")*(COUNTIF($X$1:X17,tblFornos[Forno])=0),COUNTIFS(tblFornos[Forno],tblFornos[Forno],tblFornos[Tipo],"Falha")),1),IF((tblFornos[Tipo]="Falha")*(COUNTIF($X$1:X17,tblFornos[Forno])=0),COUNTIFS(tblFornos[Forno],tblFornos[Forno],tblFornos[Tipo],"Falha")),0)),"")</f>
        <v/>
      </c>
      <c r="Y18">
        <f>IF(X18="","",COUNTIFS(tblFornos[Forno],X18,tblFornos[Tipo],"Falha"))</f>
        <v/>
      </c>
      <c r="Z18">
        <f>IFERROR(INDEX(tblFornos[Forno],MATCH(LARGE(IF((tblFornos[Tipo]="Inspecao")*(COUNTIF($Z$1:Z17,tblFornos[Forno])=0),COUNTIFS(tblFornos[Forno],tblFornos[Forno],tblFornos[Tipo],"Inspecao")),1),IF((tblFornos[Tipo]="Inspecao")*(COUNTIF($Z$1:Z17,tblFornos[Forno])=0),COUNTIFS(tblFornos[Forno],tblFornos[Forno],tblFornos[Tipo],"Inspecao")),0)),"")</f>
        <v/>
      </c>
      <c r="AA18">
        <f>IF(Z18="","",COUNTIFS(tblFornos[Forno],Z18,tblFornos[Tipo],"Inspecao"))</f>
        <v/>
      </c>
      <c r="AB1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">
        <f>IFERROR(INDEX(tblFornos[ID],AGGREGATE(15,6,(ROW($AB$2:$AB$201)-1)/($AB$2:$AB$201=1),ROWS($AC$2:AC18))),"")</f>
        <v/>
      </c>
      <c r="AD18" s="41">
        <f>IF($AC18="","",INDEX(tblFornos[Data],MATCH($AC18,tblFornos[ID],0)))</f>
        <v/>
      </c>
      <c r="AE18">
        <f>IF($AC18="","",INDEX(tblFornos[Forno],MATCH($AC18,tblFornos[ID],0)))</f>
        <v/>
      </c>
      <c r="AF18">
        <f>IF($AC18="","",INDEX(tblFornos[Tipo],MATCH($AC18,tblFornos[ID],0)))</f>
        <v/>
      </c>
      <c r="AG18">
        <f>IF($AC18="","",INDEX(tblFornos[Lado],MATCH($AC18,tblFornos[ID],0)))</f>
        <v/>
      </c>
    </row>
    <row r="19">
      <c r="T19">
        <f>IFERROR(INDEX(tblFornos[Forno],MATCH(LARGE(IF((tblFornos[Tipo]="Operacao")*(COUNTIF($T$1:T18,tblFornos[Forno])=0),COUNTIFS(tblFornos[Forno],tblFornos[Forno],tblFornos[Tipo],"Operacao")),1),IF((tblFornos[Tipo]="Operacao")*(COUNTIF($T$1:T18,tblFornos[Forno])=0),COUNTIFS(tblFornos[Forno],tblFornos[Forno],tblFornos[Tipo],"Operacao")),0)),"")</f>
        <v/>
      </c>
      <c r="U19">
        <f>IF(T19="","",COUNTIFS(tblFornos[Forno],T19,tblFornos[Tipo],"Operacao"))</f>
        <v/>
      </c>
      <c r="V19">
        <f>IFERROR(INDEX(tblFornos[Forno],MATCH(LARGE(IF((tblFornos[Tipo]="Manutencao")*(COUNTIF($V$1:V18,tblFornos[Forno])=0),COUNTIFS(tblFornos[Forno],tblFornos[Forno],tblFornos[Tipo],"Manutencao")),1),IF((tblFornos[Tipo]="Manutencao")*(COUNTIF($V$1:V18,tblFornos[Forno])=0),COUNTIFS(tblFornos[Forno],tblFornos[Forno],tblFornos[Tipo],"Manutencao")),0)),"")</f>
        <v/>
      </c>
      <c r="W19">
        <f>IF(V19="","",COUNTIFS(tblFornos[Forno],V19,tblFornos[Tipo],"Manutencao"))</f>
        <v/>
      </c>
      <c r="X19">
        <f>IFERROR(INDEX(tblFornos[Forno],MATCH(LARGE(IF((tblFornos[Tipo]="Falha")*(COUNTIF($X$1:X18,tblFornos[Forno])=0),COUNTIFS(tblFornos[Forno],tblFornos[Forno],tblFornos[Tipo],"Falha")),1),IF((tblFornos[Tipo]="Falha")*(COUNTIF($X$1:X18,tblFornos[Forno])=0),COUNTIFS(tblFornos[Forno],tblFornos[Forno],tblFornos[Tipo],"Falha")),0)),"")</f>
        <v/>
      </c>
      <c r="Y19">
        <f>IF(X19="","",COUNTIFS(tblFornos[Forno],X19,tblFornos[Tipo],"Falha"))</f>
        <v/>
      </c>
      <c r="Z19">
        <f>IFERROR(INDEX(tblFornos[Forno],MATCH(LARGE(IF((tblFornos[Tipo]="Inspecao")*(COUNTIF($Z$1:Z18,tblFornos[Forno])=0),COUNTIFS(tblFornos[Forno],tblFornos[Forno],tblFornos[Tipo],"Inspecao")),1),IF((tblFornos[Tipo]="Inspecao")*(COUNTIF($Z$1:Z18,tblFornos[Forno])=0),COUNTIFS(tblFornos[Forno],tblFornos[Forno],tblFornos[Tipo],"Inspecao")),0)),"")</f>
        <v/>
      </c>
      <c r="AA19">
        <f>IF(Z19="","",COUNTIFS(tblFornos[Forno],Z19,tblFornos[Tipo],"Inspecao"))</f>
        <v/>
      </c>
      <c r="AB1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">
        <f>IFERROR(INDEX(tblFornos[ID],AGGREGATE(15,6,(ROW($AB$2:$AB$201)-1)/($AB$2:$AB$201=1),ROWS($AC$2:AC19))),"")</f>
        <v/>
      </c>
      <c r="AD19" s="41">
        <f>IF($AC19="","",INDEX(tblFornos[Data],MATCH($AC19,tblFornos[ID],0)))</f>
        <v/>
      </c>
      <c r="AE19">
        <f>IF($AC19="","",INDEX(tblFornos[Forno],MATCH($AC19,tblFornos[ID],0)))</f>
        <v/>
      </c>
      <c r="AF19">
        <f>IF($AC19="","",INDEX(tblFornos[Tipo],MATCH($AC19,tblFornos[ID],0)))</f>
        <v/>
      </c>
      <c r="AG19">
        <f>IF($AC19="","",INDEX(tblFornos[Lado],MATCH($AC19,tblFornos[ID],0)))</f>
        <v/>
      </c>
    </row>
    <row r="20">
      <c r="T20">
        <f>IFERROR(INDEX(tblFornos[Forno],MATCH(LARGE(IF((tblFornos[Tipo]="Operacao")*(COUNTIF($T$1:T19,tblFornos[Forno])=0),COUNTIFS(tblFornos[Forno],tblFornos[Forno],tblFornos[Tipo],"Operacao")),1),IF((tblFornos[Tipo]="Operacao")*(COUNTIF($T$1:T19,tblFornos[Forno])=0),COUNTIFS(tblFornos[Forno],tblFornos[Forno],tblFornos[Tipo],"Operacao")),0)),"")</f>
        <v/>
      </c>
      <c r="U20">
        <f>IF(T20="","",COUNTIFS(tblFornos[Forno],T20,tblFornos[Tipo],"Operacao"))</f>
        <v/>
      </c>
      <c r="V20">
        <f>IFERROR(INDEX(tblFornos[Forno],MATCH(LARGE(IF((tblFornos[Tipo]="Manutencao")*(COUNTIF($V$1:V19,tblFornos[Forno])=0),COUNTIFS(tblFornos[Forno],tblFornos[Forno],tblFornos[Tipo],"Manutencao")),1),IF((tblFornos[Tipo]="Manutencao")*(COUNTIF($V$1:V19,tblFornos[Forno])=0),COUNTIFS(tblFornos[Forno],tblFornos[Forno],tblFornos[Tipo],"Manutencao")),0)),"")</f>
        <v/>
      </c>
      <c r="W20">
        <f>IF(V20="","",COUNTIFS(tblFornos[Forno],V20,tblFornos[Tipo],"Manutencao"))</f>
        <v/>
      </c>
      <c r="X20">
        <f>IFERROR(INDEX(tblFornos[Forno],MATCH(LARGE(IF((tblFornos[Tipo]="Falha")*(COUNTIF($X$1:X19,tblFornos[Forno])=0),COUNTIFS(tblFornos[Forno],tblFornos[Forno],tblFornos[Tipo],"Falha")),1),IF((tblFornos[Tipo]="Falha")*(COUNTIF($X$1:X19,tblFornos[Forno])=0),COUNTIFS(tblFornos[Forno],tblFornos[Forno],tblFornos[Tipo],"Falha")),0)),"")</f>
        <v/>
      </c>
      <c r="Y20">
        <f>IF(X20="","",COUNTIFS(tblFornos[Forno],X20,tblFornos[Tipo],"Falha"))</f>
        <v/>
      </c>
      <c r="Z20">
        <f>IFERROR(INDEX(tblFornos[Forno],MATCH(LARGE(IF((tblFornos[Tipo]="Inspecao")*(COUNTIF($Z$1:Z19,tblFornos[Forno])=0),COUNTIFS(tblFornos[Forno],tblFornos[Forno],tblFornos[Tipo],"Inspecao")),1),IF((tblFornos[Tipo]="Inspecao")*(COUNTIF($Z$1:Z19,tblFornos[Forno])=0),COUNTIFS(tblFornos[Forno],tblFornos[Forno],tblFornos[Tipo],"Inspecao")),0)),"")</f>
        <v/>
      </c>
      <c r="AA20">
        <f>IF(Z20="","",COUNTIFS(tblFornos[Forno],Z20,tblFornos[Tipo],"Inspecao"))</f>
        <v/>
      </c>
      <c r="AB2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0">
        <f>IFERROR(INDEX(tblFornos[ID],AGGREGATE(15,6,(ROW($AB$2:$AB$201)-1)/($AB$2:$AB$201=1),ROWS($AC$2:AC20))),"")</f>
        <v/>
      </c>
      <c r="AD20" s="41">
        <f>IF($AC20="","",INDEX(tblFornos[Data],MATCH($AC20,tblFornos[ID],0)))</f>
        <v/>
      </c>
      <c r="AE20">
        <f>IF($AC20="","",INDEX(tblFornos[Forno],MATCH($AC20,tblFornos[ID],0)))</f>
        <v/>
      </c>
      <c r="AF20">
        <f>IF($AC20="","",INDEX(tblFornos[Tipo],MATCH($AC20,tblFornos[ID],0)))</f>
        <v/>
      </c>
      <c r="AG20">
        <f>IF($AC20="","",INDEX(tblFornos[Lado],MATCH($AC20,tblFornos[ID],0)))</f>
        <v/>
      </c>
    </row>
    <row r="21">
      <c r="T21">
        <f>IFERROR(INDEX(tblFornos[Forno],MATCH(LARGE(IF((tblFornos[Tipo]="Operacao")*(COUNTIF($T$1:T20,tblFornos[Forno])=0),COUNTIFS(tblFornos[Forno],tblFornos[Forno],tblFornos[Tipo],"Operacao")),1),IF((tblFornos[Tipo]="Operacao")*(COUNTIF($T$1:T20,tblFornos[Forno])=0),COUNTIFS(tblFornos[Forno],tblFornos[Forno],tblFornos[Tipo],"Operacao")),0)),"")</f>
        <v/>
      </c>
      <c r="U21">
        <f>IF(T21="","",COUNTIFS(tblFornos[Forno],T21,tblFornos[Tipo],"Operacao"))</f>
        <v/>
      </c>
      <c r="V21">
        <f>IFERROR(INDEX(tblFornos[Forno],MATCH(LARGE(IF((tblFornos[Tipo]="Manutencao")*(COUNTIF($V$1:V20,tblFornos[Forno])=0),COUNTIFS(tblFornos[Forno],tblFornos[Forno],tblFornos[Tipo],"Manutencao")),1),IF((tblFornos[Tipo]="Manutencao")*(COUNTIF($V$1:V20,tblFornos[Forno])=0),COUNTIFS(tblFornos[Forno],tblFornos[Forno],tblFornos[Tipo],"Manutencao")),0)),"")</f>
        <v/>
      </c>
      <c r="W21">
        <f>IF(V21="","",COUNTIFS(tblFornos[Forno],V21,tblFornos[Tipo],"Manutencao"))</f>
        <v/>
      </c>
      <c r="X21">
        <f>IFERROR(INDEX(tblFornos[Forno],MATCH(LARGE(IF((tblFornos[Tipo]="Falha")*(COUNTIF($X$1:X20,tblFornos[Forno])=0),COUNTIFS(tblFornos[Forno],tblFornos[Forno],tblFornos[Tipo],"Falha")),1),IF((tblFornos[Tipo]="Falha")*(COUNTIF($X$1:X20,tblFornos[Forno])=0),COUNTIFS(tblFornos[Forno],tblFornos[Forno],tblFornos[Tipo],"Falha")),0)),"")</f>
        <v/>
      </c>
      <c r="Y21">
        <f>IF(X21="","",COUNTIFS(tblFornos[Forno],X21,tblFornos[Tipo],"Falha"))</f>
        <v/>
      </c>
      <c r="Z21">
        <f>IFERROR(INDEX(tblFornos[Forno],MATCH(LARGE(IF((tblFornos[Tipo]="Inspecao")*(COUNTIF($Z$1:Z20,tblFornos[Forno])=0),COUNTIFS(tblFornos[Forno],tblFornos[Forno],tblFornos[Tipo],"Inspecao")),1),IF((tblFornos[Tipo]="Inspecao")*(COUNTIF($Z$1:Z20,tblFornos[Forno])=0),COUNTIFS(tblFornos[Forno],tblFornos[Forno],tblFornos[Tipo],"Inspecao")),0)),"")</f>
        <v/>
      </c>
      <c r="AA21">
        <f>IF(Z21="","",COUNTIFS(tblFornos[Forno],Z21,tblFornos[Tipo],"Inspecao"))</f>
        <v/>
      </c>
      <c r="AB2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1">
        <f>IFERROR(INDEX(tblFornos[ID],AGGREGATE(15,6,(ROW($AB$2:$AB$201)-1)/($AB$2:$AB$201=1),ROWS($AC$2:AC21))),"")</f>
        <v/>
      </c>
      <c r="AD21" s="41">
        <f>IF($AC21="","",INDEX(tblFornos[Data],MATCH($AC21,tblFornos[ID],0)))</f>
        <v/>
      </c>
      <c r="AE21">
        <f>IF($AC21="","",INDEX(tblFornos[Forno],MATCH($AC21,tblFornos[ID],0)))</f>
        <v/>
      </c>
      <c r="AF21">
        <f>IF($AC21="","",INDEX(tblFornos[Tipo],MATCH($AC21,tblFornos[ID],0)))</f>
        <v/>
      </c>
      <c r="AG21">
        <f>IF($AC21="","",INDEX(tblFornos[Lado],MATCH($AC21,tblFornos[ID],0)))</f>
        <v/>
      </c>
    </row>
    <row r="22">
      <c r="AB2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2">
        <f>IFERROR(INDEX(tblFornos[ID],AGGREGATE(15,6,(ROW($AB$2:$AB$201)-1)/($AB$2:$AB$201=1),ROWS($AC$2:AC22))),"")</f>
        <v/>
      </c>
      <c r="AD22" s="41">
        <f>IF($AC22="","",INDEX(tblFornos[Data],MATCH($AC22,tblFornos[ID],0)))</f>
        <v/>
      </c>
      <c r="AE22">
        <f>IF($AC22="","",INDEX(tblFornos[Forno],MATCH($AC22,tblFornos[ID],0)))</f>
        <v/>
      </c>
      <c r="AF22">
        <f>IF($AC22="","",INDEX(tblFornos[Tipo],MATCH($AC22,tblFornos[ID],0)))</f>
        <v/>
      </c>
      <c r="AG22">
        <f>IF($AC22="","",INDEX(tblFornos[Lado],MATCH($AC22,tblFornos[ID],0)))</f>
        <v/>
      </c>
    </row>
    <row r="23">
      <c r="AB2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3">
        <f>IFERROR(INDEX(tblFornos[ID],AGGREGATE(15,6,(ROW($AB$2:$AB$201)-1)/($AB$2:$AB$201=1),ROWS($AC$2:AC23))),"")</f>
        <v/>
      </c>
      <c r="AD23" s="41">
        <f>IF($AC23="","",INDEX(tblFornos[Data],MATCH($AC23,tblFornos[ID],0)))</f>
        <v/>
      </c>
      <c r="AE23">
        <f>IF($AC23="","",INDEX(tblFornos[Forno],MATCH($AC23,tblFornos[ID],0)))</f>
        <v/>
      </c>
      <c r="AF23">
        <f>IF($AC23="","",INDEX(tblFornos[Tipo],MATCH($AC23,tblFornos[ID],0)))</f>
        <v/>
      </c>
      <c r="AG23">
        <f>IF($AC23="","",INDEX(tblFornos[Lado],MATCH($AC23,tblFornos[ID],0)))</f>
        <v/>
      </c>
    </row>
    <row r="24">
      <c r="AB2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4">
        <f>IFERROR(INDEX(tblFornos[ID],AGGREGATE(15,6,(ROW($AB$2:$AB$201)-1)/($AB$2:$AB$201=1),ROWS($AC$2:AC24))),"")</f>
        <v/>
      </c>
      <c r="AD24" s="41">
        <f>IF($AC24="","",INDEX(tblFornos[Data],MATCH($AC24,tblFornos[ID],0)))</f>
        <v/>
      </c>
      <c r="AE24">
        <f>IF($AC24="","",INDEX(tblFornos[Forno],MATCH($AC24,tblFornos[ID],0)))</f>
        <v/>
      </c>
      <c r="AF24">
        <f>IF($AC24="","",INDEX(tblFornos[Tipo],MATCH($AC24,tblFornos[ID],0)))</f>
        <v/>
      </c>
      <c r="AG24">
        <f>IF($AC24="","",INDEX(tblFornos[Lado],MATCH($AC24,tblFornos[ID],0)))</f>
        <v/>
      </c>
    </row>
    <row r="25">
      <c r="AB2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5">
        <f>IFERROR(INDEX(tblFornos[ID],AGGREGATE(15,6,(ROW($AB$2:$AB$201)-1)/($AB$2:$AB$201=1),ROWS($AC$2:AC25))),"")</f>
        <v/>
      </c>
      <c r="AD25" s="41">
        <f>IF($AC25="","",INDEX(tblFornos[Data],MATCH($AC25,tblFornos[ID],0)))</f>
        <v/>
      </c>
      <c r="AE25">
        <f>IF($AC25="","",INDEX(tblFornos[Forno],MATCH($AC25,tblFornos[ID],0)))</f>
        <v/>
      </c>
      <c r="AF25">
        <f>IF($AC25="","",INDEX(tblFornos[Tipo],MATCH($AC25,tblFornos[ID],0)))</f>
        <v/>
      </c>
      <c r="AG25">
        <f>IF($AC25="","",INDEX(tblFornos[Lado],MATCH($AC25,tblFornos[ID],0)))</f>
        <v/>
      </c>
    </row>
    <row r="26">
      <c r="AB2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6">
        <f>IFERROR(INDEX(tblFornos[ID],AGGREGATE(15,6,(ROW($AB$2:$AB$201)-1)/($AB$2:$AB$201=1),ROWS($AC$2:AC26))),"")</f>
        <v/>
      </c>
      <c r="AD26" s="41">
        <f>IF($AC26="","",INDEX(tblFornos[Data],MATCH($AC26,tblFornos[ID],0)))</f>
        <v/>
      </c>
      <c r="AE26">
        <f>IF($AC26="","",INDEX(tblFornos[Forno],MATCH($AC26,tblFornos[ID],0)))</f>
        <v/>
      </c>
      <c r="AF26">
        <f>IF($AC26="","",INDEX(tblFornos[Tipo],MATCH($AC26,tblFornos[ID],0)))</f>
        <v/>
      </c>
      <c r="AG26">
        <f>IF($AC26="","",INDEX(tblFornos[Lado],MATCH($AC26,tblFornos[ID],0)))</f>
        <v/>
      </c>
    </row>
    <row r="27">
      <c r="AB2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7">
        <f>IFERROR(INDEX(tblFornos[ID],AGGREGATE(15,6,(ROW($AB$2:$AB$201)-1)/($AB$2:$AB$201=1),ROWS($AC$2:AC27))),"")</f>
        <v/>
      </c>
      <c r="AD27" s="41">
        <f>IF($AC27="","",INDEX(tblFornos[Data],MATCH($AC27,tblFornos[ID],0)))</f>
        <v/>
      </c>
      <c r="AE27">
        <f>IF($AC27="","",INDEX(tblFornos[Forno],MATCH($AC27,tblFornos[ID],0)))</f>
        <v/>
      </c>
      <c r="AF27">
        <f>IF($AC27="","",INDEX(tblFornos[Tipo],MATCH($AC27,tblFornos[ID],0)))</f>
        <v/>
      </c>
      <c r="AG27">
        <f>IF($AC27="","",INDEX(tblFornos[Lado],MATCH($AC27,tblFornos[ID],0)))</f>
        <v/>
      </c>
    </row>
    <row r="28">
      <c r="AB2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8">
        <f>IFERROR(INDEX(tblFornos[ID],AGGREGATE(15,6,(ROW($AB$2:$AB$201)-1)/($AB$2:$AB$201=1),ROWS($AC$2:AC28))),"")</f>
        <v/>
      </c>
      <c r="AD28" s="41">
        <f>IF($AC28="","",INDEX(tblFornos[Data],MATCH($AC28,tblFornos[ID],0)))</f>
        <v/>
      </c>
      <c r="AE28">
        <f>IF($AC28="","",INDEX(tblFornos[Forno],MATCH($AC28,tblFornos[ID],0)))</f>
        <v/>
      </c>
      <c r="AF28">
        <f>IF($AC28="","",INDEX(tblFornos[Tipo],MATCH($AC28,tblFornos[ID],0)))</f>
        <v/>
      </c>
      <c r="AG28">
        <f>IF($AC28="","",INDEX(tblFornos[Lado],MATCH($AC28,tblFornos[ID],0)))</f>
        <v/>
      </c>
    </row>
    <row r="29">
      <c r="AB2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9">
        <f>IFERROR(INDEX(tblFornos[ID],AGGREGATE(15,6,(ROW($AB$2:$AB$201)-1)/($AB$2:$AB$201=1),ROWS($AC$2:AC29))),"")</f>
        <v/>
      </c>
      <c r="AD29" s="41">
        <f>IF($AC29="","",INDEX(tblFornos[Data],MATCH($AC29,tblFornos[ID],0)))</f>
        <v/>
      </c>
      <c r="AE29">
        <f>IF($AC29="","",INDEX(tblFornos[Forno],MATCH($AC29,tblFornos[ID],0)))</f>
        <v/>
      </c>
      <c r="AF29">
        <f>IF($AC29="","",INDEX(tblFornos[Tipo],MATCH($AC29,tblFornos[ID],0)))</f>
        <v/>
      </c>
      <c r="AG29">
        <f>IF($AC29="","",INDEX(tblFornos[Lado],MATCH($AC29,tblFornos[ID],0)))</f>
        <v/>
      </c>
    </row>
    <row r="30">
      <c r="AB3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0">
        <f>IFERROR(INDEX(tblFornos[ID],AGGREGATE(15,6,(ROW($AB$2:$AB$201)-1)/($AB$2:$AB$201=1),ROWS($AC$2:AC30))),"")</f>
        <v/>
      </c>
      <c r="AD30" s="41">
        <f>IF($AC30="","",INDEX(tblFornos[Data],MATCH($AC30,tblFornos[ID],0)))</f>
        <v/>
      </c>
      <c r="AE30">
        <f>IF($AC30="","",INDEX(tblFornos[Forno],MATCH($AC30,tblFornos[ID],0)))</f>
        <v/>
      </c>
      <c r="AF30">
        <f>IF($AC30="","",INDEX(tblFornos[Tipo],MATCH($AC30,tblFornos[ID],0)))</f>
        <v/>
      </c>
      <c r="AG30">
        <f>IF($AC30="","",INDEX(tblFornos[Lado],MATCH($AC30,tblFornos[ID],0)))</f>
        <v/>
      </c>
    </row>
    <row r="31">
      <c r="AB3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1">
        <f>IFERROR(INDEX(tblFornos[ID],AGGREGATE(15,6,(ROW($AB$2:$AB$201)-1)/($AB$2:$AB$201=1),ROWS($AC$2:AC31))),"")</f>
        <v/>
      </c>
      <c r="AD31" s="41">
        <f>IF($AC31="","",INDEX(tblFornos[Data],MATCH($AC31,tblFornos[ID],0)))</f>
        <v/>
      </c>
      <c r="AE31">
        <f>IF($AC31="","",INDEX(tblFornos[Forno],MATCH($AC31,tblFornos[ID],0)))</f>
        <v/>
      </c>
      <c r="AF31">
        <f>IF($AC31="","",INDEX(tblFornos[Tipo],MATCH($AC31,tblFornos[ID],0)))</f>
        <v/>
      </c>
      <c r="AG31">
        <f>IF($AC31="","",INDEX(tblFornos[Lado],MATCH($AC31,tblFornos[ID],0)))</f>
        <v/>
      </c>
    </row>
    <row r="32">
      <c r="AB3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2">
        <f>IFERROR(INDEX(tblFornos[ID],AGGREGATE(15,6,(ROW($AB$2:$AB$201)-1)/($AB$2:$AB$201=1),ROWS($AC$2:AC32))),"")</f>
        <v/>
      </c>
      <c r="AD32" s="41">
        <f>IF($AC32="","",INDEX(tblFornos[Data],MATCH($AC32,tblFornos[ID],0)))</f>
        <v/>
      </c>
      <c r="AE32">
        <f>IF($AC32="","",INDEX(tblFornos[Forno],MATCH($AC32,tblFornos[ID],0)))</f>
        <v/>
      </c>
      <c r="AF32">
        <f>IF($AC32="","",INDEX(tblFornos[Tipo],MATCH($AC32,tblFornos[ID],0)))</f>
        <v/>
      </c>
      <c r="AG32">
        <f>IF($AC32="","",INDEX(tblFornos[Lado],MATCH($AC32,tblFornos[ID],0)))</f>
        <v/>
      </c>
    </row>
    <row r="33">
      <c r="AB3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3">
        <f>IFERROR(INDEX(tblFornos[ID],AGGREGATE(15,6,(ROW($AB$2:$AB$201)-1)/($AB$2:$AB$201=1),ROWS($AC$2:AC33))),"")</f>
        <v/>
      </c>
      <c r="AD33" s="41">
        <f>IF($AC33="","",INDEX(tblFornos[Data],MATCH($AC33,tblFornos[ID],0)))</f>
        <v/>
      </c>
      <c r="AE33">
        <f>IF($AC33="","",INDEX(tblFornos[Forno],MATCH($AC33,tblFornos[ID],0)))</f>
        <v/>
      </c>
      <c r="AF33">
        <f>IF($AC33="","",INDEX(tblFornos[Tipo],MATCH($AC33,tblFornos[ID],0)))</f>
        <v/>
      </c>
      <c r="AG33">
        <f>IF($AC33="","",INDEX(tblFornos[Lado],MATCH($AC33,tblFornos[ID],0)))</f>
        <v/>
      </c>
    </row>
    <row r="34">
      <c r="AB3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4">
        <f>IFERROR(INDEX(tblFornos[ID],AGGREGATE(15,6,(ROW($AB$2:$AB$201)-1)/($AB$2:$AB$201=1),ROWS($AC$2:AC34))),"")</f>
        <v/>
      </c>
      <c r="AD34" s="41">
        <f>IF($AC34="","",INDEX(tblFornos[Data],MATCH($AC34,tblFornos[ID],0)))</f>
        <v/>
      </c>
      <c r="AE34">
        <f>IF($AC34="","",INDEX(tblFornos[Forno],MATCH($AC34,tblFornos[ID],0)))</f>
        <v/>
      </c>
      <c r="AF34">
        <f>IF($AC34="","",INDEX(tblFornos[Tipo],MATCH($AC34,tblFornos[ID],0)))</f>
        <v/>
      </c>
      <c r="AG34">
        <f>IF($AC34="","",INDEX(tblFornos[Lado],MATCH($AC34,tblFornos[ID],0)))</f>
        <v/>
      </c>
    </row>
    <row r="35">
      <c r="AB3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5">
        <f>IFERROR(INDEX(tblFornos[ID],AGGREGATE(15,6,(ROW($AB$2:$AB$201)-1)/($AB$2:$AB$201=1),ROWS($AC$2:AC35))),"")</f>
        <v/>
      </c>
      <c r="AD35" s="41">
        <f>IF($AC35="","",INDEX(tblFornos[Data],MATCH($AC35,tblFornos[ID],0)))</f>
        <v/>
      </c>
      <c r="AE35">
        <f>IF($AC35="","",INDEX(tblFornos[Forno],MATCH($AC35,tblFornos[ID],0)))</f>
        <v/>
      </c>
      <c r="AF35">
        <f>IF($AC35="","",INDEX(tblFornos[Tipo],MATCH($AC35,tblFornos[ID],0)))</f>
        <v/>
      </c>
      <c r="AG35">
        <f>IF($AC35="","",INDEX(tblFornos[Lado],MATCH($AC35,tblFornos[ID],0)))</f>
        <v/>
      </c>
    </row>
    <row r="36">
      <c r="AB3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6">
        <f>IFERROR(INDEX(tblFornos[ID],AGGREGATE(15,6,(ROW($AB$2:$AB$201)-1)/($AB$2:$AB$201=1),ROWS($AC$2:AC36))),"")</f>
        <v/>
      </c>
      <c r="AD36" s="41">
        <f>IF($AC36="","",INDEX(tblFornos[Data],MATCH($AC36,tblFornos[ID],0)))</f>
        <v/>
      </c>
      <c r="AE36">
        <f>IF($AC36="","",INDEX(tblFornos[Forno],MATCH($AC36,tblFornos[ID],0)))</f>
        <v/>
      </c>
      <c r="AF36">
        <f>IF($AC36="","",INDEX(tblFornos[Tipo],MATCH($AC36,tblFornos[ID],0)))</f>
        <v/>
      </c>
      <c r="AG36">
        <f>IF($AC36="","",INDEX(tblFornos[Lado],MATCH($AC36,tblFornos[ID],0)))</f>
        <v/>
      </c>
    </row>
    <row r="37">
      <c r="AB3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7">
        <f>IFERROR(INDEX(tblFornos[ID],AGGREGATE(15,6,(ROW($AB$2:$AB$201)-1)/($AB$2:$AB$201=1),ROWS($AC$2:AC37))),"")</f>
        <v/>
      </c>
      <c r="AD37" s="41">
        <f>IF($AC37="","",INDEX(tblFornos[Data],MATCH($AC37,tblFornos[ID],0)))</f>
        <v/>
      </c>
      <c r="AE37">
        <f>IF($AC37="","",INDEX(tblFornos[Forno],MATCH($AC37,tblFornos[ID],0)))</f>
        <v/>
      </c>
      <c r="AF37">
        <f>IF($AC37="","",INDEX(tblFornos[Tipo],MATCH($AC37,tblFornos[ID],0)))</f>
        <v/>
      </c>
      <c r="AG37">
        <f>IF($AC37="","",INDEX(tblFornos[Lado],MATCH($AC37,tblFornos[ID],0)))</f>
        <v/>
      </c>
    </row>
    <row r="38">
      <c r="AB3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8">
        <f>IFERROR(INDEX(tblFornos[ID],AGGREGATE(15,6,(ROW($AB$2:$AB$201)-1)/($AB$2:$AB$201=1),ROWS($AC$2:AC38))),"")</f>
        <v/>
      </c>
      <c r="AD38" s="41">
        <f>IF($AC38="","",INDEX(tblFornos[Data],MATCH($AC38,tblFornos[ID],0)))</f>
        <v/>
      </c>
      <c r="AE38">
        <f>IF($AC38="","",INDEX(tblFornos[Forno],MATCH($AC38,tblFornos[ID],0)))</f>
        <v/>
      </c>
      <c r="AF38">
        <f>IF($AC38="","",INDEX(tblFornos[Tipo],MATCH($AC38,tblFornos[ID],0)))</f>
        <v/>
      </c>
      <c r="AG38">
        <f>IF($AC38="","",INDEX(tblFornos[Lado],MATCH($AC38,tblFornos[ID],0)))</f>
        <v/>
      </c>
    </row>
    <row r="39">
      <c r="AB3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39">
        <f>IFERROR(INDEX(tblFornos[ID],AGGREGATE(15,6,(ROW($AB$2:$AB$201)-1)/($AB$2:$AB$201=1),ROWS($AC$2:AC39))),"")</f>
        <v/>
      </c>
      <c r="AD39" s="41">
        <f>IF($AC39="","",INDEX(tblFornos[Data],MATCH($AC39,tblFornos[ID],0)))</f>
        <v/>
      </c>
      <c r="AE39">
        <f>IF($AC39="","",INDEX(tblFornos[Forno],MATCH($AC39,tblFornos[ID],0)))</f>
        <v/>
      </c>
      <c r="AF39">
        <f>IF($AC39="","",INDEX(tblFornos[Tipo],MATCH($AC39,tblFornos[ID],0)))</f>
        <v/>
      </c>
      <c r="AG39">
        <f>IF($AC39="","",INDEX(tblFornos[Lado],MATCH($AC39,tblFornos[ID],0)))</f>
        <v/>
      </c>
    </row>
    <row r="40">
      <c r="AB4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0">
        <f>IFERROR(INDEX(tblFornos[ID],AGGREGATE(15,6,(ROW($AB$2:$AB$201)-1)/($AB$2:$AB$201=1),ROWS($AC$2:AC40))),"")</f>
        <v/>
      </c>
      <c r="AD40" s="41">
        <f>IF($AC40="","",INDEX(tblFornos[Data],MATCH($AC40,tblFornos[ID],0)))</f>
        <v/>
      </c>
      <c r="AE40">
        <f>IF($AC40="","",INDEX(tblFornos[Forno],MATCH($AC40,tblFornos[ID],0)))</f>
        <v/>
      </c>
      <c r="AF40">
        <f>IF($AC40="","",INDEX(tblFornos[Tipo],MATCH($AC40,tblFornos[ID],0)))</f>
        <v/>
      </c>
      <c r="AG40">
        <f>IF($AC40="","",INDEX(tblFornos[Lado],MATCH($AC40,tblFornos[ID],0)))</f>
        <v/>
      </c>
    </row>
    <row r="41">
      <c r="AB4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1">
        <f>IFERROR(INDEX(tblFornos[ID],AGGREGATE(15,6,(ROW($AB$2:$AB$201)-1)/($AB$2:$AB$201=1),ROWS($AC$2:AC41))),"")</f>
        <v/>
      </c>
      <c r="AD41" s="41">
        <f>IF($AC41="","",INDEX(tblFornos[Data],MATCH($AC41,tblFornos[ID],0)))</f>
        <v/>
      </c>
      <c r="AE41">
        <f>IF($AC41="","",INDEX(tblFornos[Forno],MATCH($AC41,tblFornos[ID],0)))</f>
        <v/>
      </c>
      <c r="AF41">
        <f>IF($AC41="","",INDEX(tblFornos[Tipo],MATCH($AC41,tblFornos[ID],0)))</f>
        <v/>
      </c>
      <c r="AG41">
        <f>IF($AC41="","",INDEX(tblFornos[Lado],MATCH($AC41,tblFornos[ID],0)))</f>
        <v/>
      </c>
    </row>
    <row r="42">
      <c r="AB4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2">
        <f>IFERROR(INDEX(tblFornos[ID],AGGREGATE(15,6,(ROW($AB$2:$AB$201)-1)/($AB$2:$AB$201=1),ROWS($AC$2:AC42))),"")</f>
        <v/>
      </c>
      <c r="AD42" s="41">
        <f>IF($AC42="","",INDEX(tblFornos[Data],MATCH($AC42,tblFornos[ID],0)))</f>
        <v/>
      </c>
      <c r="AE42">
        <f>IF($AC42="","",INDEX(tblFornos[Forno],MATCH($AC42,tblFornos[ID],0)))</f>
        <v/>
      </c>
      <c r="AF42">
        <f>IF($AC42="","",INDEX(tblFornos[Tipo],MATCH($AC42,tblFornos[ID],0)))</f>
        <v/>
      </c>
      <c r="AG42">
        <f>IF($AC42="","",INDEX(tblFornos[Lado],MATCH($AC42,tblFornos[ID],0)))</f>
        <v/>
      </c>
    </row>
    <row r="43">
      <c r="AB4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3">
        <f>IFERROR(INDEX(tblFornos[ID],AGGREGATE(15,6,(ROW($AB$2:$AB$201)-1)/($AB$2:$AB$201=1),ROWS($AC$2:AC43))),"")</f>
        <v/>
      </c>
      <c r="AD43" s="41">
        <f>IF($AC43="","",INDEX(tblFornos[Data],MATCH($AC43,tblFornos[ID],0)))</f>
        <v/>
      </c>
      <c r="AE43">
        <f>IF($AC43="","",INDEX(tblFornos[Forno],MATCH($AC43,tblFornos[ID],0)))</f>
        <v/>
      </c>
      <c r="AF43">
        <f>IF($AC43="","",INDEX(tblFornos[Tipo],MATCH($AC43,tblFornos[ID],0)))</f>
        <v/>
      </c>
      <c r="AG43">
        <f>IF($AC43="","",INDEX(tblFornos[Lado],MATCH($AC43,tblFornos[ID],0)))</f>
        <v/>
      </c>
    </row>
    <row r="44">
      <c r="AB4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4">
        <f>IFERROR(INDEX(tblFornos[ID],AGGREGATE(15,6,(ROW($AB$2:$AB$201)-1)/($AB$2:$AB$201=1),ROWS($AC$2:AC44))),"")</f>
        <v/>
      </c>
      <c r="AD44" s="41">
        <f>IF($AC44="","",INDEX(tblFornos[Data],MATCH($AC44,tblFornos[ID],0)))</f>
        <v/>
      </c>
      <c r="AE44">
        <f>IF($AC44="","",INDEX(tblFornos[Forno],MATCH($AC44,tblFornos[ID],0)))</f>
        <v/>
      </c>
      <c r="AF44">
        <f>IF($AC44="","",INDEX(tblFornos[Tipo],MATCH($AC44,tblFornos[ID],0)))</f>
        <v/>
      </c>
      <c r="AG44">
        <f>IF($AC44="","",INDEX(tblFornos[Lado],MATCH($AC44,tblFornos[ID],0)))</f>
        <v/>
      </c>
    </row>
    <row r="45">
      <c r="AB4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5">
        <f>IFERROR(INDEX(tblFornos[ID],AGGREGATE(15,6,(ROW($AB$2:$AB$201)-1)/($AB$2:$AB$201=1),ROWS($AC$2:AC45))),"")</f>
        <v/>
      </c>
      <c r="AD45" s="41">
        <f>IF($AC45="","",INDEX(tblFornos[Data],MATCH($AC45,tblFornos[ID],0)))</f>
        <v/>
      </c>
      <c r="AE45">
        <f>IF($AC45="","",INDEX(tblFornos[Forno],MATCH($AC45,tblFornos[ID],0)))</f>
        <v/>
      </c>
      <c r="AF45">
        <f>IF($AC45="","",INDEX(tblFornos[Tipo],MATCH($AC45,tblFornos[ID],0)))</f>
        <v/>
      </c>
      <c r="AG45">
        <f>IF($AC45="","",INDEX(tblFornos[Lado],MATCH($AC45,tblFornos[ID],0)))</f>
        <v/>
      </c>
    </row>
    <row r="46">
      <c r="AB4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6">
        <f>IFERROR(INDEX(tblFornos[ID],AGGREGATE(15,6,(ROW($AB$2:$AB$201)-1)/($AB$2:$AB$201=1),ROWS($AC$2:AC46))),"")</f>
        <v/>
      </c>
      <c r="AD46" s="41">
        <f>IF($AC46="","",INDEX(tblFornos[Data],MATCH($AC46,tblFornos[ID],0)))</f>
        <v/>
      </c>
      <c r="AE46">
        <f>IF($AC46="","",INDEX(tblFornos[Forno],MATCH($AC46,tblFornos[ID],0)))</f>
        <v/>
      </c>
      <c r="AF46">
        <f>IF($AC46="","",INDEX(tblFornos[Tipo],MATCH($AC46,tblFornos[ID],0)))</f>
        <v/>
      </c>
      <c r="AG46">
        <f>IF($AC46="","",INDEX(tblFornos[Lado],MATCH($AC46,tblFornos[ID],0)))</f>
        <v/>
      </c>
    </row>
    <row r="47">
      <c r="AB4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7">
        <f>IFERROR(INDEX(tblFornos[ID],AGGREGATE(15,6,(ROW($AB$2:$AB$201)-1)/($AB$2:$AB$201=1),ROWS($AC$2:AC47))),"")</f>
        <v/>
      </c>
      <c r="AD47" s="41">
        <f>IF($AC47="","",INDEX(tblFornos[Data],MATCH($AC47,tblFornos[ID],0)))</f>
        <v/>
      </c>
      <c r="AE47">
        <f>IF($AC47="","",INDEX(tblFornos[Forno],MATCH($AC47,tblFornos[ID],0)))</f>
        <v/>
      </c>
      <c r="AF47">
        <f>IF($AC47="","",INDEX(tblFornos[Tipo],MATCH($AC47,tblFornos[ID],0)))</f>
        <v/>
      </c>
      <c r="AG47">
        <f>IF($AC47="","",INDEX(tblFornos[Lado],MATCH($AC47,tblFornos[ID],0)))</f>
        <v/>
      </c>
    </row>
    <row r="48">
      <c r="AB4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8">
        <f>IFERROR(INDEX(tblFornos[ID],AGGREGATE(15,6,(ROW($AB$2:$AB$201)-1)/($AB$2:$AB$201=1),ROWS($AC$2:AC48))),"")</f>
        <v/>
      </c>
      <c r="AD48" s="41">
        <f>IF($AC48="","",INDEX(tblFornos[Data],MATCH($AC48,tblFornos[ID],0)))</f>
        <v/>
      </c>
      <c r="AE48">
        <f>IF($AC48="","",INDEX(tblFornos[Forno],MATCH($AC48,tblFornos[ID],0)))</f>
        <v/>
      </c>
      <c r="AF48">
        <f>IF($AC48="","",INDEX(tblFornos[Tipo],MATCH($AC48,tblFornos[ID],0)))</f>
        <v/>
      </c>
      <c r="AG48">
        <f>IF($AC48="","",INDEX(tblFornos[Lado],MATCH($AC48,tblFornos[ID],0)))</f>
        <v/>
      </c>
    </row>
    <row r="49">
      <c r="AB4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49">
        <f>IFERROR(INDEX(tblFornos[ID],AGGREGATE(15,6,(ROW($AB$2:$AB$201)-1)/($AB$2:$AB$201=1),ROWS($AC$2:AC49))),"")</f>
        <v/>
      </c>
      <c r="AD49" s="41">
        <f>IF($AC49="","",INDEX(tblFornos[Data],MATCH($AC49,tblFornos[ID],0)))</f>
        <v/>
      </c>
      <c r="AE49">
        <f>IF($AC49="","",INDEX(tblFornos[Forno],MATCH($AC49,tblFornos[ID],0)))</f>
        <v/>
      </c>
      <c r="AF49">
        <f>IF($AC49="","",INDEX(tblFornos[Tipo],MATCH($AC49,tblFornos[ID],0)))</f>
        <v/>
      </c>
      <c r="AG49">
        <f>IF($AC49="","",INDEX(tblFornos[Lado],MATCH($AC49,tblFornos[ID],0)))</f>
        <v/>
      </c>
    </row>
    <row r="50">
      <c r="AB5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0">
        <f>IFERROR(INDEX(tblFornos[ID],AGGREGATE(15,6,(ROW($AB$2:$AB$201)-1)/($AB$2:$AB$201=1),ROWS($AC$2:AC50))),"")</f>
        <v/>
      </c>
      <c r="AD50" s="41">
        <f>IF($AC50="","",INDEX(tblFornos[Data],MATCH($AC50,tblFornos[ID],0)))</f>
        <v/>
      </c>
      <c r="AE50">
        <f>IF($AC50="","",INDEX(tblFornos[Forno],MATCH($AC50,tblFornos[ID],0)))</f>
        <v/>
      </c>
      <c r="AF50">
        <f>IF($AC50="","",INDEX(tblFornos[Tipo],MATCH($AC50,tblFornos[ID],0)))</f>
        <v/>
      </c>
      <c r="AG50">
        <f>IF($AC50="","",INDEX(tblFornos[Lado],MATCH($AC50,tblFornos[ID],0)))</f>
        <v/>
      </c>
    </row>
    <row r="51">
      <c r="AB5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1">
        <f>IFERROR(INDEX(tblFornos[ID],AGGREGATE(15,6,(ROW($AB$2:$AB$201)-1)/($AB$2:$AB$201=1),ROWS($AC$2:AC51))),"")</f>
        <v/>
      </c>
      <c r="AD51" s="41">
        <f>IF($AC51="","",INDEX(tblFornos[Data],MATCH($AC51,tblFornos[ID],0)))</f>
        <v/>
      </c>
      <c r="AE51">
        <f>IF($AC51="","",INDEX(tblFornos[Forno],MATCH($AC51,tblFornos[ID],0)))</f>
        <v/>
      </c>
      <c r="AF51">
        <f>IF($AC51="","",INDEX(tblFornos[Tipo],MATCH($AC51,tblFornos[ID],0)))</f>
        <v/>
      </c>
      <c r="AG51">
        <f>IF($AC51="","",INDEX(tblFornos[Lado],MATCH($AC51,tblFornos[ID],0)))</f>
        <v/>
      </c>
    </row>
    <row r="52">
      <c r="AB5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2">
        <f>IFERROR(INDEX(tblFornos[ID],AGGREGATE(15,6,(ROW($AB$2:$AB$201)-1)/($AB$2:$AB$201=1),ROWS($AC$2:AC52))),"")</f>
        <v/>
      </c>
      <c r="AD52" s="41">
        <f>IF($AC52="","",INDEX(tblFornos[Data],MATCH($AC52,tblFornos[ID],0)))</f>
        <v/>
      </c>
      <c r="AE52">
        <f>IF($AC52="","",INDEX(tblFornos[Forno],MATCH($AC52,tblFornos[ID],0)))</f>
        <v/>
      </c>
      <c r="AF52">
        <f>IF($AC52="","",INDEX(tblFornos[Tipo],MATCH($AC52,tblFornos[ID],0)))</f>
        <v/>
      </c>
      <c r="AG52">
        <f>IF($AC52="","",INDEX(tblFornos[Lado],MATCH($AC52,tblFornos[ID],0)))</f>
        <v/>
      </c>
    </row>
    <row r="53">
      <c r="AB5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3">
        <f>IFERROR(INDEX(tblFornos[ID],AGGREGATE(15,6,(ROW($AB$2:$AB$201)-1)/($AB$2:$AB$201=1),ROWS($AC$2:AC53))),"")</f>
        <v/>
      </c>
      <c r="AD53" s="41">
        <f>IF($AC53="","",INDEX(tblFornos[Data],MATCH($AC53,tblFornos[ID],0)))</f>
        <v/>
      </c>
      <c r="AE53">
        <f>IF($AC53="","",INDEX(tblFornos[Forno],MATCH($AC53,tblFornos[ID],0)))</f>
        <v/>
      </c>
      <c r="AF53">
        <f>IF($AC53="","",INDEX(tblFornos[Tipo],MATCH($AC53,tblFornos[ID],0)))</f>
        <v/>
      </c>
      <c r="AG53">
        <f>IF($AC53="","",INDEX(tblFornos[Lado],MATCH($AC53,tblFornos[ID],0)))</f>
        <v/>
      </c>
    </row>
    <row r="54">
      <c r="AB5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4">
        <f>IFERROR(INDEX(tblFornos[ID],AGGREGATE(15,6,(ROW($AB$2:$AB$201)-1)/($AB$2:$AB$201=1),ROWS($AC$2:AC54))),"")</f>
        <v/>
      </c>
      <c r="AD54" s="41">
        <f>IF($AC54="","",INDEX(tblFornos[Data],MATCH($AC54,tblFornos[ID],0)))</f>
        <v/>
      </c>
      <c r="AE54">
        <f>IF($AC54="","",INDEX(tblFornos[Forno],MATCH($AC54,tblFornos[ID],0)))</f>
        <v/>
      </c>
      <c r="AF54">
        <f>IF($AC54="","",INDEX(tblFornos[Tipo],MATCH($AC54,tblFornos[ID],0)))</f>
        <v/>
      </c>
      <c r="AG54">
        <f>IF($AC54="","",INDEX(tblFornos[Lado],MATCH($AC54,tblFornos[ID],0)))</f>
        <v/>
      </c>
    </row>
    <row r="55">
      <c r="AB5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5">
        <f>IFERROR(INDEX(tblFornos[ID],AGGREGATE(15,6,(ROW($AB$2:$AB$201)-1)/($AB$2:$AB$201=1),ROWS($AC$2:AC55))),"")</f>
        <v/>
      </c>
      <c r="AD55" s="41">
        <f>IF($AC55="","",INDEX(tblFornos[Data],MATCH($AC55,tblFornos[ID],0)))</f>
        <v/>
      </c>
      <c r="AE55">
        <f>IF($AC55="","",INDEX(tblFornos[Forno],MATCH($AC55,tblFornos[ID],0)))</f>
        <v/>
      </c>
      <c r="AF55">
        <f>IF($AC55="","",INDEX(tblFornos[Tipo],MATCH($AC55,tblFornos[ID],0)))</f>
        <v/>
      </c>
      <c r="AG55">
        <f>IF($AC55="","",INDEX(tblFornos[Lado],MATCH($AC55,tblFornos[ID],0)))</f>
        <v/>
      </c>
    </row>
    <row r="56">
      <c r="AB5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6">
        <f>IFERROR(INDEX(tblFornos[ID],AGGREGATE(15,6,(ROW($AB$2:$AB$201)-1)/($AB$2:$AB$201=1),ROWS($AC$2:AC56))),"")</f>
        <v/>
      </c>
      <c r="AD56" s="41">
        <f>IF($AC56="","",INDEX(tblFornos[Data],MATCH($AC56,tblFornos[ID],0)))</f>
        <v/>
      </c>
      <c r="AE56">
        <f>IF($AC56="","",INDEX(tblFornos[Forno],MATCH($AC56,tblFornos[ID],0)))</f>
        <v/>
      </c>
      <c r="AF56">
        <f>IF($AC56="","",INDEX(tblFornos[Tipo],MATCH($AC56,tblFornos[ID],0)))</f>
        <v/>
      </c>
      <c r="AG56">
        <f>IF($AC56="","",INDEX(tblFornos[Lado],MATCH($AC56,tblFornos[ID],0)))</f>
        <v/>
      </c>
    </row>
    <row r="57">
      <c r="AB5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7">
        <f>IFERROR(INDEX(tblFornos[ID],AGGREGATE(15,6,(ROW($AB$2:$AB$201)-1)/($AB$2:$AB$201=1),ROWS($AC$2:AC57))),"")</f>
        <v/>
      </c>
      <c r="AD57" s="41">
        <f>IF($AC57="","",INDEX(tblFornos[Data],MATCH($AC57,tblFornos[ID],0)))</f>
        <v/>
      </c>
      <c r="AE57">
        <f>IF($AC57="","",INDEX(tblFornos[Forno],MATCH($AC57,tblFornos[ID],0)))</f>
        <v/>
      </c>
      <c r="AF57">
        <f>IF($AC57="","",INDEX(tblFornos[Tipo],MATCH($AC57,tblFornos[ID],0)))</f>
        <v/>
      </c>
      <c r="AG57">
        <f>IF($AC57="","",INDEX(tblFornos[Lado],MATCH($AC57,tblFornos[ID],0)))</f>
        <v/>
      </c>
    </row>
    <row r="58">
      <c r="AB5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8">
        <f>IFERROR(INDEX(tblFornos[ID],AGGREGATE(15,6,(ROW($AB$2:$AB$201)-1)/($AB$2:$AB$201=1),ROWS($AC$2:AC58))),"")</f>
        <v/>
      </c>
      <c r="AD58" s="41">
        <f>IF($AC58="","",INDEX(tblFornos[Data],MATCH($AC58,tblFornos[ID],0)))</f>
        <v/>
      </c>
      <c r="AE58">
        <f>IF($AC58="","",INDEX(tblFornos[Forno],MATCH($AC58,tblFornos[ID],0)))</f>
        <v/>
      </c>
      <c r="AF58">
        <f>IF($AC58="","",INDEX(tblFornos[Tipo],MATCH($AC58,tblFornos[ID],0)))</f>
        <v/>
      </c>
      <c r="AG58">
        <f>IF($AC58="","",INDEX(tblFornos[Lado],MATCH($AC58,tblFornos[ID],0)))</f>
        <v/>
      </c>
    </row>
    <row r="59">
      <c r="AB5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59">
        <f>IFERROR(INDEX(tblFornos[ID],AGGREGATE(15,6,(ROW($AB$2:$AB$201)-1)/($AB$2:$AB$201=1),ROWS($AC$2:AC59))),"")</f>
        <v/>
      </c>
      <c r="AD59" s="41">
        <f>IF($AC59="","",INDEX(tblFornos[Data],MATCH($AC59,tblFornos[ID],0)))</f>
        <v/>
      </c>
      <c r="AE59">
        <f>IF($AC59="","",INDEX(tblFornos[Forno],MATCH($AC59,tblFornos[ID],0)))</f>
        <v/>
      </c>
      <c r="AF59">
        <f>IF($AC59="","",INDEX(tblFornos[Tipo],MATCH($AC59,tblFornos[ID],0)))</f>
        <v/>
      </c>
      <c r="AG59">
        <f>IF($AC59="","",INDEX(tblFornos[Lado],MATCH($AC59,tblFornos[ID],0)))</f>
        <v/>
      </c>
    </row>
    <row r="60">
      <c r="AB6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0">
        <f>IFERROR(INDEX(tblFornos[ID],AGGREGATE(15,6,(ROW($AB$2:$AB$201)-1)/($AB$2:$AB$201=1),ROWS($AC$2:AC60))),"")</f>
        <v/>
      </c>
      <c r="AD60" s="41">
        <f>IF($AC60="","",INDEX(tblFornos[Data],MATCH($AC60,tblFornos[ID],0)))</f>
        <v/>
      </c>
      <c r="AE60">
        <f>IF($AC60="","",INDEX(tblFornos[Forno],MATCH($AC60,tblFornos[ID],0)))</f>
        <v/>
      </c>
      <c r="AF60">
        <f>IF($AC60="","",INDEX(tblFornos[Tipo],MATCH($AC60,tblFornos[ID],0)))</f>
        <v/>
      </c>
      <c r="AG60">
        <f>IF($AC60="","",INDEX(tblFornos[Lado],MATCH($AC60,tblFornos[ID],0)))</f>
        <v/>
      </c>
    </row>
    <row r="61">
      <c r="AB6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1">
        <f>IFERROR(INDEX(tblFornos[ID],AGGREGATE(15,6,(ROW($AB$2:$AB$201)-1)/($AB$2:$AB$201=1),ROWS($AC$2:AC61))),"")</f>
        <v/>
      </c>
      <c r="AD61" s="41">
        <f>IF($AC61="","",INDEX(tblFornos[Data],MATCH($AC61,tblFornos[ID],0)))</f>
        <v/>
      </c>
      <c r="AE61">
        <f>IF($AC61="","",INDEX(tblFornos[Forno],MATCH($AC61,tblFornos[ID],0)))</f>
        <v/>
      </c>
      <c r="AF61">
        <f>IF($AC61="","",INDEX(tblFornos[Tipo],MATCH($AC61,tblFornos[ID],0)))</f>
        <v/>
      </c>
      <c r="AG61">
        <f>IF($AC61="","",INDEX(tblFornos[Lado],MATCH($AC61,tblFornos[ID],0)))</f>
        <v/>
      </c>
    </row>
    <row r="62">
      <c r="AB6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2">
        <f>IFERROR(INDEX(tblFornos[ID],AGGREGATE(15,6,(ROW($AB$2:$AB$201)-1)/($AB$2:$AB$201=1),ROWS($AC$2:AC62))),"")</f>
        <v/>
      </c>
      <c r="AD62" s="41">
        <f>IF($AC62="","",INDEX(tblFornos[Data],MATCH($AC62,tblFornos[ID],0)))</f>
        <v/>
      </c>
      <c r="AE62">
        <f>IF($AC62="","",INDEX(tblFornos[Forno],MATCH($AC62,tblFornos[ID],0)))</f>
        <v/>
      </c>
      <c r="AF62">
        <f>IF($AC62="","",INDEX(tblFornos[Tipo],MATCH($AC62,tblFornos[ID],0)))</f>
        <v/>
      </c>
      <c r="AG62">
        <f>IF($AC62="","",INDEX(tblFornos[Lado],MATCH($AC62,tblFornos[ID],0)))</f>
        <v/>
      </c>
    </row>
    <row r="63">
      <c r="AB6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3">
        <f>IFERROR(INDEX(tblFornos[ID],AGGREGATE(15,6,(ROW($AB$2:$AB$201)-1)/($AB$2:$AB$201=1),ROWS($AC$2:AC63))),"")</f>
        <v/>
      </c>
      <c r="AD63" s="41">
        <f>IF($AC63="","",INDEX(tblFornos[Data],MATCH($AC63,tblFornos[ID],0)))</f>
        <v/>
      </c>
      <c r="AE63">
        <f>IF($AC63="","",INDEX(tblFornos[Forno],MATCH($AC63,tblFornos[ID],0)))</f>
        <v/>
      </c>
      <c r="AF63">
        <f>IF($AC63="","",INDEX(tblFornos[Tipo],MATCH($AC63,tblFornos[ID],0)))</f>
        <v/>
      </c>
      <c r="AG63">
        <f>IF($AC63="","",INDEX(tblFornos[Lado],MATCH($AC63,tblFornos[ID],0)))</f>
        <v/>
      </c>
    </row>
    <row r="64">
      <c r="AB6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4">
        <f>IFERROR(INDEX(tblFornos[ID],AGGREGATE(15,6,(ROW($AB$2:$AB$201)-1)/($AB$2:$AB$201=1),ROWS($AC$2:AC64))),"")</f>
        <v/>
      </c>
      <c r="AD64" s="41">
        <f>IF($AC64="","",INDEX(tblFornos[Data],MATCH($AC64,tblFornos[ID],0)))</f>
        <v/>
      </c>
      <c r="AE64">
        <f>IF($AC64="","",INDEX(tblFornos[Forno],MATCH($AC64,tblFornos[ID],0)))</f>
        <v/>
      </c>
      <c r="AF64">
        <f>IF($AC64="","",INDEX(tblFornos[Tipo],MATCH($AC64,tblFornos[ID],0)))</f>
        <v/>
      </c>
      <c r="AG64">
        <f>IF($AC64="","",INDEX(tblFornos[Lado],MATCH($AC64,tblFornos[ID],0)))</f>
        <v/>
      </c>
    </row>
    <row r="65">
      <c r="AB6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5">
        <f>IFERROR(INDEX(tblFornos[ID],AGGREGATE(15,6,(ROW($AB$2:$AB$201)-1)/($AB$2:$AB$201=1),ROWS($AC$2:AC65))),"")</f>
        <v/>
      </c>
      <c r="AD65" s="41">
        <f>IF($AC65="","",INDEX(tblFornos[Data],MATCH($AC65,tblFornos[ID],0)))</f>
        <v/>
      </c>
      <c r="AE65">
        <f>IF($AC65="","",INDEX(tblFornos[Forno],MATCH($AC65,tblFornos[ID],0)))</f>
        <v/>
      </c>
      <c r="AF65">
        <f>IF($AC65="","",INDEX(tblFornos[Tipo],MATCH($AC65,tblFornos[ID],0)))</f>
        <v/>
      </c>
      <c r="AG65">
        <f>IF($AC65="","",INDEX(tblFornos[Lado],MATCH($AC65,tblFornos[ID],0)))</f>
        <v/>
      </c>
    </row>
    <row r="66">
      <c r="AB6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6">
        <f>IFERROR(INDEX(tblFornos[ID],AGGREGATE(15,6,(ROW($AB$2:$AB$201)-1)/($AB$2:$AB$201=1),ROWS($AC$2:AC66))),"")</f>
        <v/>
      </c>
      <c r="AD66" s="41">
        <f>IF($AC66="","",INDEX(tblFornos[Data],MATCH($AC66,tblFornos[ID],0)))</f>
        <v/>
      </c>
      <c r="AE66">
        <f>IF($AC66="","",INDEX(tblFornos[Forno],MATCH($AC66,tblFornos[ID],0)))</f>
        <v/>
      </c>
      <c r="AF66">
        <f>IF($AC66="","",INDEX(tblFornos[Tipo],MATCH($AC66,tblFornos[ID],0)))</f>
        <v/>
      </c>
      <c r="AG66">
        <f>IF($AC66="","",INDEX(tblFornos[Lado],MATCH($AC66,tblFornos[ID],0)))</f>
        <v/>
      </c>
    </row>
    <row r="67">
      <c r="AB6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7">
        <f>IFERROR(INDEX(tblFornos[ID],AGGREGATE(15,6,(ROW($AB$2:$AB$201)-1)/($AB$2:$AB$201=1),ROWS($AC$2:AC67))),"")</f>
        <v/>
      </c>
      <c r="AD67" s="41">
        <f>IF($AC67="","",INDEX(tblFornos[Data],MATCH($AC67,tblFornos[ID],0)))</f>
        <v/>
      </c>
      <c r="AE67">
        <f>IF($AC67="","",INDEX(tblFornos[Forno],MATCH($AC67,tblFornos[ID],0)))</f>
        <v/>
      </c>
      <c r="AF67">
        <f>IF($AC67="","",INDEX(tblFornos[Tipo],MATCH($AC67,tblFornos[ID],0)))</f>
        <v/>
      </c>
      <c r="AG67">
        <f>IF($AC67="","",INDEX(tblFornos[Lado],MATCH($AC67,tblFornos[ID],0)))</f>
        <v/>
      </c>
    </row>
    <row r="68">
      <c r="AB6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8">
        <f>IFERROR(INDEX(tblFornos[ID],AGGREGATE(15,6,(ROW($AB$2:$AB$201)-1)/($AB$2:$AB$201=1),ROWS($AC$2:AC68))),"")</f>
        <v/>
      </c>
      <c r="AD68" s="41">
        <f>IF($AC68="","",INDEX(tblFornos[Data],MATCH($AC68,tblFornos[ID],0)))</f>
        <v/>
      </c>
      <c r="AE68">
        <f>IF($AC68="","",INDEX(tblFornos[Forno],MATCH($AC68,tblFornos[ID],0)))</f>
        <v/>
      </c>
      <c r="AF68">
        <f>IF($AC68="","",INDEX(tblFornos[Tipo],MATCH($AC68,tblFornos[ID],0)))</f>
        <v/>
      </c>
      <c r="AG68">
        <f>IF($AC68="","",INDEX(tblFornos[Lado],MATCH($AC68,tblFornos[ID],0)))</f>
        <v/>
      </c>
    </row>
    <row r="69">
      <c r="AB6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69">
        <f>IFERROR(INDEX(tblFornos[ID],AGGREGATE(15,6,(ROW($AB$2:$AB$201)-1)/($AB$2:$AB$201=1),ROWS($AC$2:AC69))),"")</f>
        <v/>
      </c>
      <c r="AD69" s="41">
        <f>IF($AC69="","",INDEX(tblFornos[Data],MATCH($AC69,tblFornos[ID],0)))</f>
        <v/>
      </c>
      <c r="AE69">
        <f>IF($AC69="","",INDEX(tblFornos[Forno],MATCH($AC69,tblFornos[ID],0)))</f>
        <v/>
      </c>
      <c r="AF69">
        <f>IF($AC69="","",INDEX(tblFornos[Tipo],MATCH($AC69,tblFornos[ID],0)))</f>
        <v/>
      </c>
      <c r="AG69">
        <f>IF($AC69="","",INDEX(tblFornos[Lado],MATCH($AC69,tblFornos[ID],0)))</f>
        <v/>
      </c>
    </row>
    <row r="70">
      <c r="AB7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0">
        <f>IFERROR(INDEX(tblFornos[ID],AGGREGATE(15,6,(ROW($AB$2:$AB$201)-1)/($AB$2:$AB$201=1),ROWS($AC$2:AC70))),"")</f>
        <v/>
      </c>
      <c r="AD70" s="41">
        <f>IF($AC70="","",INDEX(tblFornos[Data],MATCH($AC70,tblFornos[ID],0)))</f>
        <v/>
      </c>
      <c r="AE70">
        <f>IF($AC70="","",INDEX(tblFornos[Forno],MATCH($AC70,tblFornos[ID],0)))</f>
        <v/>
      </c>
      <c r="AF70">
        <f>IF($AC70="","",INDEX(tblFornos[Tipo],MATCH($AC70,tblFornos[ID],0)))</f>
        <v/>
      </c>
      <c r="AG70">
        <f>IF($AC70="","",INDEX(tblFornos[Lado],MATCH($AC70,tblFornos[ID],0)))</f>
        <v/>
      </c>
    </row>
    <row r="71">
      <c r="AB7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1">
        <f>IFERROR(INDEX(tblFornos[ID],AGGREGATE(15,6,(ROW($AB$2:$AB$201)-1)/($AB$2:$AB$201=1),ROWS($AC$2:AC71))),"")</f>
        <v/>
      </c>
      <c r="AD71" s="41">
        <f>IF($AC71="","",INDEX(tblFornos[Data],MATCH($AC71,tblFornos[ID],0)))</f>
        <v/>
      </c>
      <c r="AE71">
        <f>IF($AC71="","",INDEX(tblFornos[Forno],MATCH($AC71,tblFornos[ID],0)))</f>
        <v/>
      </c>
      <c r="AF71">
        <f>IF($AC71="","",INDEX(tblFornos[Tipo],MATCH($AC71,tblFornos[ID],0)))</f>
        <v/>
      </c>
      <c r="AG71">
        <f>IF($AC71="","",INDEX(tblFornos[Lado],MATCH($AC71,tblFornos[ID],0)))</f>
        <v/>
      </c>
    </row>
    <row r="72">
      <c r="AB7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2">
        <f>IFERROR(INDEX(tblFornos[ID],AGGREGATE(15,6,(ROW($AB$2:$AB$201)-1)/($AB$2:$AB$201=1),ROWS($AC$2:AC72))),"")</f>
        <v/>
      </c>
      <c r="AD72" s="41">
        <f>IF($AC72="","",INDEX(tblFornos[Data],MATCH($AC72,tblFornos[ID],0)))</f>
        <v/>
      </c>
      <c r="AE72">
        <f>IF($AC72="","",INDEX(tblFornos[Forno],MATCH($AC72,tblFornos[ID],0)))</f>
        <v/>
      </c>
      <c r="AF72">
        <f>IF($AC72="","",INDEX(tblFornos[Tipo],MATCH($AC72,tblFornos[ID],0)))</f>
        <v/>
      </c>
      <c r="AG72">
        <f>IF($AC72="","",INDEX(tblFornos[Lado],MATCH($AC72,tblFornos[ID],0)))</f>
        <v/>
      </c>
    </row>
    <row r="73">
      <c r="AB7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3">
        <f>IFERROR(INDEX(tblFornos[ID],AGGREGATE(15,6,(ROW($AB$2:$AB$201)-1)/($AB$2:$AB$201=1),ROWS($AC$2:AC73))),"")</f>
        <v/>
      </c>
      <c r="AD73" s="41">
        <f>IF($AC73="","",INDEX(tblFornos[Data],MATCH($AC73,tblFornos[ID],0)))</f>
        <v/>
      </c>
      <c r="AE73">
        <f>IF($AC73="","",INDEX(tblFornos[Forno],MATCH($AC73,tblFornos[ID],0)))</f>
        <v/>
      </c>
      <c r="AF73">
        <f>IF($AC73="","",INDEX(tblFornos[Tipo],MATCH($AC73,tblFornos[ID],0)))</f>
        <v/>
      </c>
      <c r="AG73">
        <f>IF($AC73="","",INDEX(tblFornos[Lado],MATCH($AC73,tblFornos[ID],0)))</f>
        <v/>
      </c>
    </row>
    <row r="74">
      <c r="AB7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4">
        <f>IFERROR(INDEX(tblFornos[ID],AGGREGATE(15,6,(ROW($AB$2:$AB$201)-1)/($AB$2:$AB$201=1),ROWS($AC$2:AC74))),"")</f>
        <v/>
      </c>
      <c r="AD74" s="41">
        <f>IF($AC74="","",INDEX(tblFornos[Data],MATCH($AC74,tblFornos[ID],0)))</f>
        <v/>
      </c>
      <c r="AE74">
        <f>IF($AC74="","",INDEX(tblFornos[Forno],MATCH($AC74,tblFornos[ID],0)))</f>
        <v/>
      </c>
      <c r="AF74">
        <f>IF($AC74="","",INDEX(tblFornos[Tipo],MATCH($AC74,tblFornos[ID],0)))</f>
        <v/>
      </c>
      <c r="AG74">
        <f>IF($AC74="","",INDEX(tblFornos[Lado],MATCH($AC74,tblFornos[ID],0)))</f>
        <v/>
      </c>
    </row>
    <row r="75">
      <c r="AB7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5">
        <f>IFERROR(INDEX(tblFornos[ID],AGGREGATE(15,6,(ROW($AB$2:$AB$201)-1)/($AB$2:$AB$201=1),ROWS($AC$2:AC75))),"")</f>
        <v/>
      </c>
      <c r="AD75" s="41">
        <f>IF($AC75="","",INDEX(tblFornos[Data],MATCH($AC75,tblFornos[ID],0)))</f>
        <v/>
      </c>
      <c r="AE75">
        <f>IF($AC75="","",INDEX(tblFornos[Forno],MATCH($AC75,tblFornos[ID],0)))</f>
        <v/>
      </c>
      <c r="AF75">
        <f>IF($AC75="","",INDEX(tblFornos[Tipo],MATCH($AC75,tblFornos[ID],0)))</f>
        <v/>
      </c>
      <c r="AG75">
        <f>IF($AC75="","",INDEX(tblFornos[Lado],MATCH($AC75,tblFornos[ID],0)))</f>
        <v/>
      </c>
    </row>
    <row r="76">
      <c r="AB7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6">
        <f>IFERROR(INDEX(tblFornos[ID],AGGREGATE(15,6,(ROW($AB$2:$AB$201)-1)/($AB$2:$AB$201=1),ROWS($AC$2:AC76))),"")</f>
        <v/>
      </c>
      <c r="AD76" s="41">
        <f>IF($AC76="","",INDEX(tblFornos[Data],MATCH($AC76,tblFornos[ID],0)))</f>
        <v/>
      </c>
      <c r="AE76">
        <f>IF($AC76="","",INDEX(tblFornos[Forno],MATCH($AC76,tblFornos[ID],0)))</f>
        <v/>
      </c>
      <c r="AF76">
        <f>IF($AC76="","",INDEX(tblFornos[Tipo],MATCH($AC76,tblFornos[ID],0)))</f>
        <v/>
      </c>
      <c r="AG76">
        <f>IF($AC76="","",INDEX(tblFornos[Lado],MATCH($AC76,tblFornos[ID],0)))</f>
        <v/>
      </c>
    </row>
    <row r="77">
      <c r="AB7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7">
        <f>IFERROR(INDEX(tblFornos[ID],AGGREGATE(15,6,(ROW($AB$2:$AB$201)-1)/($AB$2:$AB$201=1),ROWS($AC$2:AC77))),"")</f>
        <v/>
      </c>
      <c r="AD77" s="41">
        <f>IF($AC77="","",INDEX(tblFornos[Data],MATCH($AC77,tblFornos[ID],0)))</f>
        <v/>
      </c>
      <c r="AE77">
        <f>IF($AC77="","",INDEX(tblFornos[Forno],MATCH($AC77,tblFornos[ID],0)))</f>
        <v/>
      </c>
      <c r="AF77">
        <f>IF($AC77="","",INDEX(tblFornos[Tipo],MATCH($AC77,tblFornos[ID],0)))</f>
        <v/>
      </c>
      <c r="AG77">
        <f>IF($AC77="","",INDEX(tblFornos[Lado],MATCH($AC77,tblFornos[ID],0)))</f>
        <v/>
      </c>
    </row>
    <row r="78">
      <c r="AB7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8">
        <f>IFERROR(INDEX(tblFornos[ID],AGGREGATE(15,6,(ROW($AB$2:$AB$201)-1)/($AB$2:$AB$201=1),ROWS($AC$2:AC78))),"")</f>
        <v/>
      </c>
      <c r="AD78" s="41">
        <f>IF($AC78="","",INDEX(tblFornos[Data],MATCH($AC78,tblFornos[ID],0)))</f>
        <v/>
      </c>
      <c r="AE78">
        <f>IF($AC78="","",INDEX(tblFornos[Forno],MATCH($AC78,tblFornos[ID],0)))</f>
        <v/>
      </c>
      <c r="AF78">
        <f>IF($AC78="","",INDEX(tblFornos[Tipo],MATCH($AC78,tblFornos[ID],0)))</f>
        <v/>
      </c>
      <c r="AG78">
        <f>IF($AC78="","",INDEX(tblFornos[Lado],MATCH($AC78,tblFornos[ID],0)))</f>
        <v/>
      </c>
    </row>
    <row r="79">
      <c r="AB7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79">
        <f>IFERROR(INDEX(tblFornos[ID],AGGREGATE(15,6,(ROW($AB$2:$AB$201)-1)/($AB$2:$AB$201=1),ROWS($AC$2:AC79))),"")</f>
        <v/>
      </c>
      <c r="AD79" s="41">
        <f>IF($AC79="","",INDEX(tblFornos[Data],MATCH($AC79,tblFornos[ID],0)))</f>
        <v/>
      </c>
      <c r="AE79">
        <f>IF($AC79="","",INDEX(tblFornos[Forno],MATCH($AC79,tblFornos[ID],0)))</f>
        <v/>
      </c>
      <c r="AF79">
        <f>IF($AC79="","",INDEX(tblFornos[Tipo],MATCH($AC79,tblFornos[ID],0)))</f>
        <v/>
      </c>
      <c r="AG79">
        <f>IF($AC79="","",INDEX(tblFornos[Lado],MATCH($AC79,tblFornos[ID],0)))</f>
        <v/>
      </c>
    </row>
    <row r="80">
      <c r="AB8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0">
        <f>IFERROR(INDEX(tblFornos[ID],AGGREGATE(15,6,(ROW($AB$2:$AB$201)-1)/($AB$2:$AB$201=1),ROWS($AC$2:AC80))),"")</f>
        <v/>
      </c>
      <c r="AD80" s="41">
        <f>IF($AC80="","",INDEX(tblFornos[Data],MATCH($AC80,tblFornos[ID],0)))</f>
        <v/>
      </c>
      <c r="AE80">
        <f>IF($AC80="","",INDEX(tblFornos[Forno],MATCH($AC80,tblFornos[ID],0)))</f>
        <v/>
      </c>
      <c r="AF80">
        <f>IF($AC80="","",INDEX(tblFornos[Tipo],MATCH($AC80,tblFornos[ID],0)))</f>
        <v/>
      </c>
      <c r="AG80">
        <f>IF($AC80="","",INDEX(tblFornos[Lado],MATCH($AC80,tblFornos[ID],0)))</f>
        <v/>
      </c>
    </row>
    <row r="81">
      <c r="AB8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1">
        <f>IFERROR(INDEX(tblFornos[ID],AGGREGATE(15,6,(ROW($AB$2:$AB$201)-1)/($AB$2:$AB$201=1),ROWS($AC$2:AC81))),"")</f>
        <v/>
      </c>
      <c r="AD81" s="41">
        <f>IF($AC81="","",INDEX(tblFornos[Data],MATCH($AC81,tblFornos[ID],0)))</f>
        <v/>
      </c>
      <c r="AE81">
        <f>IF($AC81="","",INDEX(tblFornos[Forno],MATCH($AC81,tblFornos[ID],0)))</f>
        <v/>
      </c>
      <c r="AF81">
        <f>IF($AC81="","",INDEX(tblFornos[Tipo],MATCH($AC81,tblFornos[ID],0)))</f>
        <v/>
      </c>
      <c r="AG81">
        <f>IF($AC81="","",INDEX(tblFornos[Lado],MATCH($AC81,tblFornos[ID],0)))</f>
        <v/>
      </c>
    </row>
    <row r="82">
      <c r="AB8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2">
        <f>IFERROR(INDEX(tblFornos[ID],AGGREGATE(15,6,(ROW($AB$2:$AB$201)-1)/($AB$2:$AB$201=1),ROWS($AC$2:AC82))),"")</f>
        <v/>
      </c>
      <c r="AD82" s="41">
        <f>IF($AC82="","",INDEX(tblFornos[Data],MATCH($AC82,tblFornos[ID],0)))</f>
        <v/>
      </c>
      <c r="AE82">
        <f>IF($AC82="","",INDEX(tblFornos[Forno],MATCH($AC82,tblFornos[ID],0)))</f>
        <v/>
      </c>
      <c r="AF82">
        <f>IF($AC82="","",INDEX(tblFornos[Tipo],MATCH($AC82,tblFornos[ID],0)))</f>
        <v/>
      </c>
      <c r="AG82">
        <f>IF($AC82="","",INDEX(tblFornos[Lado],MATCH($AC82,tblFornos[ID],0)))</f>
        <v/>
      </c>
    </row>
    <row r="83">
      <c r="AB8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3">
        <f>IFERROR(INDEX(tblFornos[ID],AGGREGATE(15,6,(ROW($AB$2:$AB$201)-1)/($AB$2:$AB$201=1),ROWS($AC$2:AC83))),"")</f>
        <v/>
      </c>
      <c r="AD83" s="41">
        <f>IF($AC83="","",INDEX(tblFornos[Data],MATCH($AC83,tblFornos[ID],0)))</f>
        <v/>
      </c>
      <c r="AE83">
        <f>IF($AC83="","",INDEX(tblFornos[Forno],MATCH($AC83,tblFornos[ID],0)))</f>
        <v/>
      </c>
      <c r="AF83">
        <f>IF($AC83="","",INDEX(tblFornos[Tipo],MATCH($AC83,tblFornos[ID],0)))</f>
        <v/>
      </c>
      <c r="AG83">
        <f>IF($AC83="","",INDEX(tblFornos[Lado],MATCH($AC83,tblFornos[ID],0)))</f>
        <v/>
      </c>
    </row>
    <row r="84">
      <c r="AB8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4">
        <f>IFERROR(INDEX(tblFornos[ID],AGGREGATE(15,6,(ROW($AB$2:$AB$201)-1)/($AB$2:$AB$201=1),ROWS($AC$2:AC84))),"")</f>
        <v/>
      </c>
      <c r="AD84" s="41">
        <f>IF($AC84="","",INDEX(tblFornos[Data],MATCH($AC84,tblFornos[ID],0)))</f>
        <v/>
      </c>
      <c r="AE84">
        <f>IF($AC84="","",INDEX(tblFornos[Forno],MATCH($AC84,tblFornos[ID],0)))</f>
        <v/>
      </c>
      <c r="AF84">
        <f>IF($AC84="","",INDEX(tblFornos[Tipo],MATCH($AC84,tblFornos[ID],0)))</f>
        <v/>
      </c>
      <c r="AG84">
        <f>IF($AC84="","",INDEX(tblFornos[Lado],MATCH($AC84,tblFornos[ID],0)))</f>
        <v/>
      </c>
    </row>
    <row r="85">
      <c r="AB8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5">
        <f>IFERROR(INDEX(tblFornos[ID],AGGREGATE(15,6,(ROW($AB$2:$AB$201)-1)/($AB$2:$AB$201=1),ROWS($AC$2:AC85))),"")</f>
        <v/>
      </c>
      <c r="AD85" s="41">
        <f>IF($AC85="","",INDEX(tblFornos[Data],MATCH($AC85,tblFornos[ID],0)))</f>
        <v/>
      </c>
      <c r="AE85">
        <f>IF($AC85="","",INDEX(tblFornos[Forno],MATCH($AC85,tblFornos[ID],0)))</f>
        <v/>
      </c>
      <c r="AF85">
        <f>IF($AC85="","",INDEX(tblFornos[Tipo],MATCH($AC85,tblFornos[ID],0)))</f>
        <v/>
      </c>
      <c r="AG85">
        <f>IF($AC85="","",INDEX(tblFornos[Lado],MATCH($AC85,tblFornos[ID],0)))</f>
        <v/>
      </c>
    </row>
    <row r="86">
      <c r="AB8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6">
        <f>IFERROR(INDEX(tblFornos[ID],AGGREGATE(15,6,(ROW($AB$2:$AB$201)-1)/($AB$2:$AB$201=1),ROWS($AC$2:AC86))),"")</f>
        <v/>
      </c>
      <c r="AD86" s="41">
        <f>IF($AC86="","",INDEX(tblFornos[Data],MATCH($AC86,tblFornos[ID],0)))</f>
        <v/>
      </c>
      <c r="AE86">
        <f>IF($AC86="","",INDEX(tblFornos[Forno],MATCH($AC86,tblFornos[ID],0)))</f>
        <v/>
      </c>
      <c r="AF86">
        <f>IF($AC86="","",INDEX(tblFornos[Tipo],MATCH($AC86,tblFornos[ID],0)))</f>
        <v/>
      </c>
      <c r="AG86">
        <f>IF($AC86="","",INDEX(tblFornos[Lado],MATCH($AC86,tblFornos[ID],0)))</f>
        <v/>
      </c>
    </row>
    <row r="87">
      <c r="AB8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7">
        <f>IFERROR(INDEX(tblFornos[ID],AGGREGATE(15,6,(ROW($AB$2:$AB$201)-1)/($AB$2:$AB$201=1),ROWS($AC$2:AC87))),"")</f>
        <v/>
      </c>
      <c r="AD87" s="41">
        <f>IF($AC87="","",INDEX(tblFornos[Data],MATCH($AC87,tblFornos[ID],0)))</f>
        <v/>
      </c>
      <c r="AE87">
        <f>IF($AC87="","",INDEX(tblFornos[Forno],MATCH($AC87,tblFornos[ID],0)))</f>
        <v/>
      </c>
      <c r="AF87">
        <f>IF($AC87="","",INDEX(tblFornos[Tipo],MATCH($AC87,tblFornos[ID],0)))</f>
        <v/>
      </c>
      <c r="AG87">
        <f>IF($AC87="","",INDEX(tblFornos[Lado],MATCH($AC87,tblFornos[ID],0)))</f>
        <v/>
      </c>
    </row>
    <row r="88">
      <c r="AB8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8">
        <f>IFERROR(INDEX(tblFornos[ID],AGGREGATE(15,6,(ROW($AB$2:$AB$201)-1)/($AB$2:$AB$201=1),ROWS($AC$2:AC88))),"")</f>
        <v/>
      </c>
      <c r="AD88" s="41">
        <f>IF($AC88="","",INDEX(tblFornos[Data],MATCH($AC88,tblFornos[ID],0)))</f>
        <v/>
      </c>
      <c r="AE88">
        <f>IF($AC88="","",INDEX(tblFornos[Forno],MATCH($AC88,tblFornos[ID],0)))</f>
        <v/>
      </c>
      <c r="AF88">
        <f>IF($AC88="","",INDEX(tblFornos[Tipo],MATCH($AC88,tblFornos[ID],0)))</f>
        <v/>
      </c>
      <c r="AG88">
        <f>IF($AC88="","",INDEX(tblFornos[Lado],MATCH($AC88,tblFornos[ID],0)))</f>
        <v/>
      </c>
    </row>
    <row r="89">
      <c r="AB8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89">
        <f>IFERROR(INDEX(tblFornos[ID],AGGREGATE(15,6,(ROW($AB$2:$AB$201)-1)/($AB$2:$AB$201=1),ROWS($AC$2:AC89))),"")</f>
        <v/>
      </c>
      <c r="AD89" s="41">
        <f>IF($AC89="","",INDEX(tblFornos[Data],MATCH($AC89,tblFornos[ID],0)))</f>
        <v/>
      </c>
      <c r="AE89">
        <f>IF($AC89="","",INDEX(tblFornos[Forno],MATCH($AC89,tblFornos[ID],0)))</f>
        <v/>
      </c>
      <c r="AF89">
        <f>IF($AC89="","",INDEX(tblFornos[Tipo],MATCH($AC89,tblFornos[ID],0)))</f>
        <v/>
      </c>
      <c r="AG89">
        <f>IF($AC89="","",INDEX(tblFornos[Lado],MATCH($AC89,tblFornos[ID],0)))</f>
        <v/>
      </c>
    </row>
    <row r="90">
      <c r="AB9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0">
        <f>IFERROR(INDEX(tblFornos[ID],AGGREGATE(15,6,(ROW($AB$2:$AB$201)-1)/($AB$2:$AB$201=1),ROWS($AC$2:AC90))),"")</f>
        <v/>
      </c>
      <c r="AD90" s="41">
        <f>IF($AC90="","",INDEX(tblFornos[Data],MATCH($AC90,tblFornos[ID],0)))</f>
        <v/>
      </c>
      <c r="AE90">
        <f>IF($AC90="","",INDEX(tblFornos[Forno],MATCH($AC90,tblFornos[ID],0)))</f>
        <v/>
      </c>
      <c r="AF90">
        <f>IF($AC90="","",INDEX(tblFornos[Tipo],MATCH($AC90,tblFornos[ID],0)))</f>
        <v/>
      </c>
      <c r="AG90">
        <f>IF($AC90="","",INDEX(tblFornos[Lado],MATCH($AC90,tblFornos[ID],0)))</f>
        <v/>
      </c>
    </row>
    <row r="91">
      <c r="AB9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1">
        <f>IFERROR(INDEX(tblFornos[ID],AGGREGATE(15,6,(ROW($AB$2:$AB$201)-1)/($AB$2:$AB$201=1),ROWS($AC$2:AC91))),"")</f>
        <v/>
      </c>
      <c r="AD91" s="41">
        <f>IF($AC91="","",INDEX(tblFornos[Data],MATCH($AC91,tblFornos[ID],0)))</f>
        <v/>
      </c>
      <c r="AE91">
        <f>IF($AC91="","",INDEX(tblFornos[Forno],MATCH($AC91,tblFornos[ID],0)))</f>
        <v/>
      </c>
      <c r="AF91">
        <f>IF($AC91="","",INDEX(tblFornos[Tipo],MATCH($AC91,tblFornos[ID],0)))</f>
        <v/>
      </c>
      <c r="AG91">
        <f>IF($AC91="","",INDEX(tblFornos[Lado],MATCH($AC91,tblFornos[ID],0)))</f>
        <v/>
      </c>
    </row>
    <row r="92">
      <c r="AB9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2">
        <f>IFERROR(INDEX(tblFornos[ID],AGGREGATE(15,6,(ROW($AB$2:$AB$201)-1)/($AB$2:$AB$201=1),ROWS($AC$2:AC92))),"")</f>
        <v/>
      </c>
      <c r="AD92" s="41">
        <f>IF($AC92="","",INDEX(tblFornos[Data],MATCH($AC92,tblFornos[ID],0)))</f>
        <v/>
      </c>
      <c r="AE92">
        <f>IF($AC92="","",INDEX(tblFornos[Forno],MATCH($AC92,tblFornos[ID],0)))</f>
        <v/>
      </c>
      <c r="AF92">
        <f>IF($AC92="","",INDEX(tblFornos[Tipo],MATCH($AC92,tblFornos[ID],0)))</f>
        <v/>
      </c>
      <c r="AG92">
        <f>IF($AC92="","",INDEX(tblFornos[Lado],MATCH($AC92,tblFornos[ID],0)))</f>
        <v/>
      </c>
    </row>
    <row r="93">
      <c r="AB9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3">
        <f>IFERROR(INDEX(tblFornos[ID],AGGREGATE(15,6,(ROW($AB$2:$AB$201)-1)/($AB$2:$AB$201=1),ROWS($AC$2:AC93))),"")</f>
        <v/>
      </c>
      <c r="AD93" s="41">
        <f>IF($AC93="","",INDEX(tblFornos[Data],MATCH($AC93,tblFornos[ID],0)))</f>
        <v/>
      </c>
      <c r="AE93">
        <f>IF($AC93="","",INDEX(tblFornos[Forno],MATCH($AC93,tblFornos[ID],0)))</f>
        <v/>
      </c>
      <c r="AF93">
        <f>IF($AC93="","",INDEX(tblFornos[Tipo],MATCH($AC93,tblFornos[ID],0)))</f>
        <v/>
      </c>
      <c r="AG93">
        <f>IF($AC93="","",INDEX(tblFornos[Lado],MATCH($AC93,tblFornos[ID],0)))</f>
        <v/>
      </c>
    </row>
    <row r="94">
      <c r="AB9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4">
        <f>IFERROR(INDEX(tblFornos[ID],AGGREGATE(15,6,(ROW($AB$2:$AB$201)-1)/($AB$2:$AB$201=1),ROWS($AC$2:AC94))),"")</f>
        <v/>
      </c>
      <c r="AD94" s="41">
        <f>IF($AC94="","",INDEX(tblFornos[Data],MATCH($AC94,tblFornos[ID],0)))</f>
        <v/>
      </c>
      <c r="AE94">
        <f>IF($AC94="","",INDEX(tblFornos[Forno],MATCH($AC94,tblFornos[ID],0)))</f>
        <v/>
      </c>
      <c r="AF94">
        <f>IF($AC94="","",INDEX(tblFornos[Tipo],MATCH($AC94,tblFornos[ID],0)))</f>
        <v/>
      </c>
      <c r="AG94">
        <f>IF($AC94="","",INDEX(tblFornos[Lado],MATCH($AC94,tblFornos[ID],0)))</f>
        <v/>
      </c>
    </row>
    <row r="95">
      <c r="AB9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5">
        <f>IFERROR(INDEX(tblFornos[ID],AGGREGATE(15,6,(ROW($AB$2:$AB$201)-1)/($AB$2:$AB$201=1),ROWS($AC$2:AC95))),"")</f>
        <v/>
      </c>
      <c r="AD95" s="41">
        <f>IF($AC95="","",INDEX(tblFornos[Data],MATCH($AC95,tblFornos[ID],0)))</f>
        <v/>
      </c>
      <c r="AE95">
        <f>IF($AC95="","",INDEX(tblFornos[Forno],MATCH($AC95,tblFornos[ID],0)))</f>
        <v/>
      </c>
      <c r="AF95">
        <f>IF($AC95="","",INDEX(tblFornos[Tipo],MATCH($AC95,tblFornos[ID],0)))</f>
        <v/>
      </c>
      <c r="AG95">
        <f>IF($AC95="","",INDEX(tblFornos[Lado],MATCH($AC95,tblFornos[ID],0)))</f>
        <v/>
      </c>
    </row>
    <row r="96">
      <c r="AB9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6">
        <f>IFERROR(INDEX(tblFornos[ID],AGGREGATE(15,6,(ROW($AB$2:$AB$201)-1)/($AB$2:$AB$201=1),ROWS($AC$2:AC96))),"")</f>
        <v/>
      </c>
      <c r="AD96" s="41">
        <f>IF($AC96="","",INDEX(tblFornos[Data],MATCH($AC96,tblFornos[ID],0)))</f>
        <v/>
      </c>
      <c r="AE96">
        <f>IF($AC96="","",INDEX(tblFornos[Forno],MATCH($AC96,tblFornos[ID],0)))</f>
        <v/>
      </c>
      <c r="AF96">
        <f>IF($AC96="","",INDEX(tblFornos[Tipo],MATCH($AC96,tblFornos[ID],0)))</f>
        <v/>
      </c>
      <c r="AG96">
        <f>IF($AC96="","",INDEX(tblFornos[Lado],MATCH($AC96,tblFornos[ID],0)))</f>
        <v/>
      </c>
    </row>
    <row r="97">
      <c r="AB9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7">
        <f>IFERROR(INDEX(tblFornos[ID],AGGREGATE(15,6,(ROW($AB$2:$AB$201)-1)/($AB$2:$AB$201=1),ROWS($AC$2:AC97))),"")</f>
        <v/>
      </c>
      <c r="AD97" s="41">
        <f>IF($AC97="","",INDEX(tblFornos[Data],MATCH($AC97,tblFornos[ID],0)))</f>
        <v/>
      </c>
      <c r="AE97">
        <f>IF($AC97="","",INDEX(tblFornos[Forno],MATCH($AC97,tblFornos[ID],0)))</f>
        <v/>
      </c>
      <c r="AF97">
        <f>IF($AC97="","",INDEX(tblFornos[Tipo],MATCH($AC97,tblFornos[ID],0)))</f>
        <v/>
      </c>
      <c r="AG97">
        <f>IF($AC97="","",INDEX(tblFornos[Lado],MATCH($AC97,tblFornos[ID],0)))</f>
        <v/>
      </c>
    </row>
    <row r="98">
      <c r="AB9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8">
        <f>IFERROR(INDEX(tblFornos[ID],AGGREGATE(15,6,(ROW($AB$2:$AB$201)-1)/($AB$2:$AB$201=1),ROWS($AC$2:AC98))),"")</f>
        <v/>
      </c>
      <c r="AD98" s="41">
        <f>IF($AC98="","",INDEX(tblFornos[Data],MATCH($AC98,tblFornos[ID],0)))</f>
        <v/>
      </c>
      <c r="AE98">
        <f>IF($AC98="","",INDEX(tblFornos[Forno],MATCH($AC98,tblFornos[ID],0)))</f>
        <v/>
      </c>
      <c r="AF98">
        <f>IF($AC98="","",INDEX(tblFornos[Tipo],MATCH($AC98,tblFornos[ID],0)))</f>
        <v/>
      </c>
      <c r="AG98">
        <f>IF($AC98="","",INDEX(tblFornos[Lado],MATCH($AC98,tblFornos[ID],0)))</f>
        <v/>
      </c>
    </row>
    <row r="99">
      <c r="AB9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99">
        <f>IFERROR(INDEX(tblFornos[ID],AGGREGATE(15,6,(ROW($AB$2:$AB$201)-1)/($AB$2:$AB$201=1),ROWS($AC$2:AC99))),"")</f>
        <v/>
      </c>
      <c r="AD99" s="41">
        <f>IF($AC99="","",INDEX(tblFornos[Data],MATCH($AC99,tblFornos[ID],0)))</f>
        <v/>
      </c>
      <c r="AE99">
        <f>IF($AC99="","",INDEX(tblFornos[Forno],MATCH($AC99,tblFornos[ID],0)))</f>
        <v/>
      </c>
      <c r="AF99">
        <f>IF($AC99="","",INDEX(tblFornos[Tipo],MATCH($AC99,tblFornos[ID],0)))</f>
        <v/>
      </c>
      <c r="AG99">
        <f>IF($AC99="","",INDEX(tblFornos[Lado],MATCH($AC99,tblFornos[ID],0)))</f>
        <v/>
      </c>
    </row>
    <row r="100">
      <c r="AB10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0">
        <f>IFERROR(INDEX(tblFornos[ID],AGGREGATE(15,6,(ROW($AB$2:$AB$201)-1)/($AB$2:$AB$201=1),ROWS($AC$2:AC100))),"")</f>
        <v/>
      </c>
      <c r="AD100" s="41">
        <f>IF($AC100="","",INDEX(tblFornos[Data],MATCH($AC100,tblFornos[ID],0)))</f>
        <v/>
      </c>
      <c r="AE100">
        <f>IF($AC100="","",INDEX(tblFornos[Forno],MATCH($AC100,tblFornos[ID],0)))</f>
        <v/>
      </c>
      <c r="AF100">
        <f>IF($AC100="","",INDEX(tblFornos[Tipo],MATCH($AC100,tblFornos[ID],0)))</f>
        <v/>
      </c>
      <c r="AG100">
        <f>IF($AC100="","",INDEX(tblFornos[Lado],MATCH($AC100,tblFornos[ID],0)))</f>
        <v/>
      </c>
    </row>
    <row r="101">
      <c r="AB10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1">
        <f>IFERROR(INDEX(tblFornos[ID],AGGREGATE(15,6,(ROW($AB$2:$AB$201)-1)/($AB$2:$AB$201=1),ROWS($AC$2:AC101))),"")</f>
        <v/>
      </c>
      <c r="AD101" s="41">
        <f>IF($AC101="","",INDEX(tblFornos[Data],MATCH($AC101,tblFornos[ID],0)))</f>
        <v/>
      </c>
      <c r="AE101">
        <f>IF($AC101="","",INDEX(tblFornos[Forno],MATCH($AC101,tblFornos[ID],0)))</f>
        <v/>
      </c>
      <c r="AF101">
        <f>IF($AC101="","",INDEX(tblFornos[Tipo],MATCH($AC101,tblFornos[ID],0)))</f>
        <v/>
      </c>
      <c r="AG101">
        <f>IF($AC101="","",INDEX(tblFornos[Lado],MATCH($AC101,tblFornos[ID],0)))</f>
        <v/>
      </c>
    </row>
    <row r="102">
      <c r="AB10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2">
        <f>IFERROR(INDEX(tblFornos[ID],AGGREGATE(15,6,(ROW($AB$2:$AB$201)-1)/($AB$2:$AB$201=1),ROWS($AC$2:AC102))),"")</f>
        <v/>
      </c>
      <c r="AD102" s="41">
        <f>IF($AC102="","",INDEX(tblFornos[Data],MATCH($AC102,tblFornos[ID],0)))</f>
        <v/>
      </c>
      <c r="AE102">
        <f>IF($AC102="","",INDEX(tblFornos[Forno],MATCH($AC102,tblFornos[ID],0)))</f>
        <v/>
      </c>
      <c r="AF102">
        <f>IF($AC102="","",INDEX(tblFornos[Tipo],MATCH($AC102,tblFornos[ID],0)))</f>
        <v/>
      </c>
      <c r="AG102">
        <f>IF($AC102="","",INDEX(tblFornos[Lado],MATCH($AC102,tblFornos[ID],0)))</f>
        <v/>
      </c>
    </row>
    <row r="103">
      <c r="AB10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3">
        <f>IFERROR(INDEX(tblFornos[ID],AGGREGATE(15,6,(ROW($AB$2:$AB$201)-1)/($AB$2:$AB$201=1),ROWS($AC$2:AC103))),"")</f>
        <v/>
      </c>
      <c r="AD103" s="41">
        <f>IF($AC103="","",INDEX(tblFornos[Data],MATCH($AC103,tblFornos[ID],0)))</f>
        <v/>
      </c>
      <c r="AE103">
        <f>IF($AC103="","",INDEX(tblFornos[Forno],MATCH($AC103,tblFornos[ID],0)))</f>
        <v/>
      </c>
      <c r="AF103">
        <f>IF($AC103="","",INDEX(tblFornos[Tipo],MATCH($AC103,tblFornos[ID],0)))</f>
        <v/>
      </c>
      <c r="AG103">
        <f>IF($AC103="","",INDEX(tblFornos[Lado],MATCH($AC103,tblFornos[ID],0)))</f>
        <v/>
      </c>
    </row>
    <row r="104">
      <c r="AB10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4">
        <f>IFERROR(INDEX(tblFornos[ID],AGGREGATE(15,6,(ROW($AB$2:$AB$201)-1)/($AB$2:$AB$201=1),ROWS($AC$2:AC104))),"")</f>
        <v/>
      </c>
      <c r="AD104" s="41">
        <f>IF($AC104="","",INDEX(tblFornos[Data],MATCH($AC104,tblFornos[ID],0)))</f>
        <v/>
      </c>
      <c r="AE104">
        <f>IF($AC104="","",INDEX(tblFornos[Forno],MATCH($AC104,tblFornos[ID],0)))</f>
        <v/>
      </c>
      <c r="AF104">
        <f>IF($AC104="","",INDEX(tblFornos[Tipo],MATCH($AC104,tblFornos[ID],0)))</f>
        <v/>
      </c>
      <c r="AG104">
        <f>IF($AC104="","",INDEX(tblFornos[Lado],MATCH($AC104,tblFornos[ID],0)))</f>
        <v/>
      </c>
    </row>
    <row r="105">
      <c r="AB10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5">
        <f>IFERROR(INDEX(tblFornos[ID],AGGREGATE(15,6,(ROW($AB$2:$AB$201)-1)/($AB$2:$AB$201=1),ROWS($AC$2:AC105))),"")</f>
        <v/>
      </c>
      <c r="AD105" s="41">
        <f>IF($AC105="","",INDEX(tblFornos[Data],MATCH($AC105,tblFornos[ID],0)))</f>
        <v/>
      </c>
      <c r="AE105">
        <f>IF($AC105="","",INDEX(tblFornos[Forno],MATCH($AC105,tblFornos[ID],0)))</f>
        <v/>
      </c>
      <c r="AF105">
        <f>IF($AC105="","",INDEX(tblFornos[Tipo],MATCH($AC105,tblFornos[ID],0)))</f>
        <v/>
      </c>
      <c r="AG105">
        <f>IF($AC105="","",INDEX(tblFornos[Lado],MATCH($AC105,tblFornos[ID],0)))</f>
        <v/>
      </c>
    </row>
    <row r="106">
      <c r="AB10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6">
        <f>IFERROR(INDEX(tblFornos[ID],AGGREGATE(15,6,(ROW($AB$2:$AB$201)-1)/($AB$2:$AB$201=1),ROWS($AC$2:AC106))),"")</f>
        <v/>
      </c>
      <c r="AD106" s="41">
        <f>IF($AC106="","",INDEX(tblFornos[Data],MATCH($AC106,tblFornos[ID],0)))</f>
        <v/>
      </c>
      <c r="AE106">
        <f>IF($AC106="","",INDEX(tblFornos[Forno],MATCH($AC106,tblFornos[ID],0)))</f>
        <v/>
      </c>
      <c r="AF106">
        <f>IF($AC106="","",INDEX(tblFornos[Tipo],MATCH($AC106,tblFornos[ID],0)))</f>
        <v/>
      </c>
      <c r="AG106">
        <f>IF($AC106="","",INDEX(tblFornos[Lado],MATCH($AC106,tblFornos[ID],0)))</f>
        <v/>
      </c>
    </row>
    <row r="107">
      <c r="AB10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7">
        <f>IFERROR(INDEX(tblFornos[ID],AGGREGATE(15,6,(ROW($AB$2:$AB$201)-1)/($AB$2:$AB$201=1),ROWS($AC$2:AC107))),"")</f>
        <v/>
      </c>
      <c r="AD107" s="41">
        <f>IF($AC107="","",INDEX(tblFornos[Data],MATCH($AC107,tblFornos[ID],0)))</f>
        <v/>
      </c>
      <c r="AE107">
        <f>IF($AC107="","",INDEX(tblFornos[Forno],MATCH($AC107,tblFornos[ID],0)))</f>
        <v/>
      </c>
      <c r="AF107">
        <f>IF($AC107="","",INDEX(tblFornos[Tipo],MATCH($AC107,tblFornos[ID],0)))</f>
        <v/>
      </c>
      <c r="AG107">
        <f>IF($AC107="","",INDEX(tblFornos[Lado],MATCH($AC107,tblFornos[ID],0)))</f>
        <v/>
      </c>
    </row>
    <row r="108">
      <c r="AB10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8">
        <f>IFERROR(INDEX(tblFornos[ID],AGGREGATE(15,6,(ROW($AB$2:$AB$201)-1)/($AB$2:$AB$201=1),ROWS($AC$2:AC108))),"")</f>
        <v/>
      </c>
      <c r="AD108" s="41">
        <f>IF($AC108="","",INDEX(tblFornos[Data],MATCH($AC108,tblFornos[ID],0)))</f>
        <v/>
      </c>
      <c r="AE108">
        <f>IF($AC108="","",INDEX(tblFornos[Forno],MATCH($AC108,tblFornos[ID],0)))</f>
        <v/>
      </c>
      <c r="AF108">
        <f>IF($AC108="","",INDEX(tblFornos[Tipo],MATCH($AC108,tblFornos[ID],0)))</f>
        <v/>
      </c>
      <c r="AG108">
        <f>IF($AC108="","",INDEX(tblFornos[Lado],MATCH($AC108,tblFornos[ID],0)))</f>
        <v/>
      </c>
    </row>
    <row r="109">
      <c r="AB10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09">
        <f>IFERROR(INDEX(tblFornos[ID],AGGREGATE(15,6,(ROW($AB$2:$AB$201)-1)/($AB$2:$AB$201=1),ROWS($AC$2:AC109))),"")</f>
        <v/>
      </c>
      <c r="AD109" s="41">
        <f>IF($AC109="","",INDEX(tblFornos[Data],MATCH($AC109,tblFornos[ID],0)))</f>
        <v/>
      </c>
      <c r="AE109">
        <f>IF($AC109="","",INDEX(tblFornos[Forno],MATCH($AC109,tblFornos[ID],0)))</f>
        <v/>
      </c>
      <c r="AF109">
        <f>IF($AC109="","",INDEX(tblFornos[Tipo],MATCH($AC109,tblFornos[ID],0)))</f>
        <v/>
      </c>
      <c r="AG109">
        <f>IF($AC109="","",INDEX(tblFornos[Lado],MATCH($AC109,tblFornos[ID],0)))</f>
        <v/>
      </c>
    </row>
    <row r="110">
      <c r="AB11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0">
        <f>IFERROR(INDEX(tblFornos[ID],AGGREGATE(15,6,(ROW($AB$2:$AB$201)-1)/($AB$2:$AB$201=1),ROWS($AC$2:AC110))),"")</f>
        <v/>
      </c>
      <c r="AD110" s="41">
        <f>IF($AC110="","",INDEX(tblFornos[Data],MATCH($AC110,tblFornos[ID],0)))</f>
        <v/>
      </c>
      <c r="AE110">
        <f>IF($AC110="","",INDEX(tblFornos[Forno],MATCH($AC110,tblFornos[ID],0)))</f>
        <v/>
      </c>
      <c r="AF110">
        <f>IF($AC110="","",INDEX(tblFornos[Tipo],MATCH($AC110,tblFornos[ID],0)))</f>
        <v/>
      </c>
      <c r="AG110">
        <f>IF($AC110="","",INDEX(tblFornos[Lado],MATCH($AC110,tblFornos[ID],0)))</f>
        <v/>
      </c>
    </row>
    <row r="111">
      <c r="AB11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1">
        <f>IFERROR(INDEX(tblFornos[ID],AGGREGATE(15,6,(ROW($AB$2:$AB$201)-1)/($AB$2:$AB$201=1),ROWS($AC$2:AC111))),"")</f>
        <v/>
      </c>
      <c r="AD111" s="41">
        <f>IF($AC111="","",INDEX(tblFornos[Data],MATCH($AC111,tblFornos[ID],0)))</f>
        <v/>
      </c>
      <c r="AE111">
        <f>IF($AC111="","",INDEX(tblFornos[Forno],MATCH($AC111,tblFornos[ID],0)))</f>
        <v/>
      </c>
      <c r="AF111">
        <f>IF($AC111="","",INDEX(tblFornos[Tipo],MATCH($AC111,tblFornos[ID],0)))</f>
        <v/>
      </c>
      <c r="AG111">
        <f>IF($AC111="","",INDEX(tblFornos[Lado],MATCH($AC111,tblFornos[ID],0)))</f>
        <v/>
      </c>
    </row>
    <row r="112">
      <c r="AB11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2">
        <f>IFERROR(INDEX(tblFornos[ID],AGGREGATE(15,6,(ROW($AB$2:$AB$201)-1)/($AB$2:$AB$201=1),ROWS($AC$2:AC112))),"")</f>
        <v/>
      </c>
      <c r="AD112" s="41">
        <f>IF($AC112="","",INDEX(tblFornos[Data],MATCH($AC112,tblFornos[ID],0)))</f>
        <v/>
      </c>
      <c r="AE112">
        <f>IF($AC112="","",INDEX(tblFornos[Forno],MATCH($AC112,tblFornos[ID],0)))</f>
        <v/>
      </c>
      <c r="AF112">
        <f>IF($AC112="","",INDEX(tblFornos[Tipo],MATCH($AC112,tblFornos[ID],0)))</f>
        <v/>
      </c>
      <c r="AG112">
        <f>IF($AC112="","",INDEX(tblFornos[Lado],MATCH($AC112,tblFornos[ID],0)))</f>
        <v/>
      </c>
    </row>
    <row r="113">
      <c r="AB11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3">
        <f>IFERROR(INDEX(tblFornos[ID],AGGREGATE(15,6,(ROW($AB$2:$AB$201)-1)/($AB$2:$AB$201=1),ROWS($AC$2:AC113))),"")</f>
        <v/>
      </c>
      <c r="AD113" s="41">
        <f>IF($AC113="","",INDEX(tblFornos[Data],MATCH($AC113,tblFornos[ID],0)))</f>
        <v/>
      </c>
      <c r="AE113">
        <f>IF($AC113="","",INDEX(tblFornos[Forno],MATCH($AC113,tblFornos[ID],0)))</f>
        <v/>
      </c>
      <c r="AF113">
        <f>IF($AC113="","",INDEX(tblFornos[Tipo],MATCH($AC113,tblFornos[ID],0)))</f>
        <v/>
      </c>
      <c r="AG113">
        <f>IF($AC113="","",INDEX(tblFornos[Lado],MATCH($AC113,tblFornos[ID],0)))</f>
        <v/>
      </c>
    </row>
    <row r="114">
      <c r="AB11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4">
        <f>IFERROR(INDEX(tblFornos[ID],AGGREGATE(15,6,(ROW($AB$2:$AB$201)-1)/($AB$2:$AB$201=1),ROWS($AC$2:AC114))),"")</f>
        <v/>
      </c>
      <c r="AD114" s="41">
        <f>IF($AC114="","",INDEX(tblFornos[Data],MATCH($AC114,tblFornos[ID],0)))</f>
        <v/>
      </c>
      <c r="AE114">
        <f>IF($AC114="","",INDEX(tblFornos[Forno],MATCH($AC114,tblFornos[ID],0)))</f>
        <v/>
      </c>
      <c r="AF114">
        <f>IF($AC114="","",INDEX(tblFornos[Tipo],MATCH($AC114,tblFornos[ID],0)))</f>
        <v/>
      </c>
      <c r="AG114">
        <f>IF($AC114="","",INDEX(tblFornos[Lado],MATCH($AC114,tblFornos[ID],0)))</f>
        <v/>
      </c>
    </row>
    <row r="115">
      <c r="AB11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5">
        <f>IFERROR(INDEX(tblFornos[ID],AGGREGATE(15,6,(ROW($AB$2:$AB$201)-1)/($AB$2:$AB$201=1),ROWS($AC$2:AC115))),"")</f>
        <v/>
      </c>
      <c r="AD115" s="41">
        <f>IF($AC115="","",INDEX(tblFornos[Data],MATCH($AC115,tblFornos[ID],0)))</f>
        <v/>
      </c>
      <c r="AE115">
        <f>IF($AC115="","",INDEX(tblFornos[Forno],MATCH($AC115,tblFornos[ID],0)))</f>
        <v/>
      </c>
      <c r="AF115">
        <f>IF($AC115="","",INDEX(tblFornos[Tipo],MATCH($AC115,tblFornos[ID],0)))</f>
        <v/>
      </c>
      <c r="AG115">
        <f>IF($AC115="","",INDEX(tblFornos[Lado],MATCH($AC115,tblFornos[ID],0)))</f>
        <v/>
      </c>
    </row>
    <row r="116">
      <c r="AB11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6">
        <f>IFERROR(INDEX(tblFornos[ID],AGGREGATE(15,6,(ROW($AB$2:$AB$201)-1)/($AB$2:$AB$201=1),ROWS($AC$2:AC116))),"")</f>
        <v/>
      </c>
      <c r="AD116" s="41">
        <f>IF($AC116="","",INDEX(tblFornos[Data],MATCH($AC116,tblFornos[ID],0)))</f>
        <v/>
      </c>
      <c r="AE116">
        <f>IF($AC116="","",INDEX(tblFornos[Forno],MATCH($AC116,tblFornos[ID],0)))</f>
        <v/>
      </c>
      <c r="AF116">
        <f>IF($AC116="","",INDEX(tblFornos[Tipo],MATCH($AC116,tblFornos[ID],0)))</f>
        <v/>
      </c>
      <c r="AG116">
        <f>IF($AC116="","",INDEX(tblFornos[Lado],MATCH($AC116,tblFornos[ID],0)))</f>
        <v/>
      </c>
    </row>
    <row r="117">
      <c r="AB11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7">
        <f>IFERROR(INDEX(tblFornos[ID],AGGREGATE(15,6,(ROW($AB$2:$AB$201)-1)/($AB$2:$AB$201=1),ROWS($AC$2:AC117))),"")</f>
        <v/>
      </c>
      <c r="AD117" s="41">
        <f>IF($AC117="","",INDEX(tblFornos[Data],MATCH($AC117,tblFornos[ID],0)))</f>
        <v/>
      </c>
      <c r="AE117">
        <f>IF($AC117="","",INDEX(tblFornos[Forno],MATCH($AC117,tblFornos[ID],0)))</f>
        <v/>
      </c>
      <c r="AF117">
        <f>IF($AC117="","",INDEX(tblFornos[Tipo],MATCH($AC117,tblFornos[ID],0)))</f>
        <v/>
      </c>
      <c r="AG117">
        <f>IF($AC117="","",INDEX(tblFornos[Lado],MATCH($AC117,tblFornos[ID],0)))</f>
        <v/>
      </c>
    </row>
    <row r="118">
      <c r="AB11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8">
        <f>IFERROR(INDEX(tblFornos[ID],AGGREGATE(15,6,(ROW($AB$2:$AB$201)-1)/($AB$2:$AB$201=1),ROWS($AC$2:AC118))),"")</f>
        <v/>
      </c>
      <c r="AD118" s="41">
        <f>IF($AC118="","",INDEX(tblFornos[Data],MATCH($AC118,tblFornos[ID],0)))</f>
        <v/>
      </c>
      <c r="AE118">
        <f>IF($AC118="","",INDEX(tblFornos[Forno],MATCH($AC118,tblFornos[ID],0)))</f>
        <v/>
      </c>
      <c r="AF118">
        <f>IF($AC118="","",INDEX(tblFornos[Tipo],MATCH($AC118,tblFornos[ID],0)))</f>
        <v/>
      </c>
      <c r="AG118">
        <f>IF($AC118="","",INDEX(tblFornos[Lado],MATCH($AC118,tblFornos[ID],0)))</f>
        <v/>
      </c>
    </row>
    <row r="119">
      <c r="AB11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19">
        <f>IFERROR(INDEX(tblFornos[ID],AGGREGATE(15,6,(ROW($AB$2:$AB$201)-1)/($AB$2:$AB$201=1),ROWS($AC$2:AC119))),"")</f>
        <v/>
      </c>
      <c r="AD119" s="41">
        <f>IF($AC119="","",INDEX(tblFornos[Data],MATCH($AC119,tblFornos[ID],0)))</f>
        <v/>
      </c>
      <c r="AE119">
        <f>IF($AC119="","",INDEX(tblFornos[Forno],MATCH($AC119,tblFornos[ID],0)))</f>
        <v/>
      </c>
      <c r="AF119">
        <f>IF($AC119="","",INDEX(tblFornos[Tipo],MATCH($AC119,tblFornos[ID],0)))</f>
        <v/>
      </c>
      <c r="AG119">
        <f>IF($AC119="","",INDEX(tblFornos[Lado],MATCH($AC119,tblFornos[ID],0)))</f>
        <v/>
      </c>
    </row>
    <row r="120">
      <c r="AB12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0">
        <f>IFERROR(INDEX(tblFornos[ID],AGGREGATE(15,6,(ROW($AB$2:$AB$201)-1)/($AB$2:$AB$201=1),ROWS($AC$2:AC120))),"")</f>
        <v/>
      </c>
      <c r="AD120" s="41">
        <f>IF($AC120="","",INDEX(tblFornos[Data],MATCH($AC120,tblFornos[ID],0)))</f>
        <v/>
      </c>
      <c r="AE120">
        <f>IF($AC120="","",INDEX(tblFornos[Forno],MATCH($AC120,tblFornos[ID],0)))</f>
        <v/>
      </c>
      <c r="AF120">
        <f>IF($AC120="","",INDEX(tblFornos[Tipo],MATCH($AC120,tblFornos[ID],0)))</f>
        <v/>
      </c>
      <c r="AG120">
        <f>IF($AC120="","",INDEX(tblFornos[Lado],MATCH($AC120,tblFornos[ID],0)))</f>
        <v/>
      </c>
    </row>
    <row r="121">
      <c r="AB12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1">
        <f>IFERROR(INDEX(tblFornos[ID],AGGREGATE(15,6,(ROW($AB$2:$AB$201)-1)/($AB$2:$AB$201=1),ROWS($AC$2:AC121))),"")</f>
        <v/>
      </c>
      <c r="AD121" s="41">
        <f>IF($AC121="","",INDEX(tblFornos[Data],MATCH($AC121,tblFornos[ID],0)))</f>
        <v/>
      </c>
      <c r="AE121">
        <f>IF($AC121="","",INDEX(tblFornos[Forno],MATCH($AC121,tblFornos[ID],0)))</f>
        <v/>
      </c>
      <c r="AF121">
        <f>IF($AC121="","",INDEX(tblFornos[Tipo],MATCH($AC121,tblFornos[ID],0)))</f>
        <v/>
      </c>
      <c r="AG121">
        <f>IF($AC121="","",INDEX(tblFornos[Lado],MATCH($AC121,tblFornos[ID],0)))</f>
        <v/>
      </c>
    </row>
    <row r="122">
      <c r="AB12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2">
        <f>IFERROR(INDEX(tblFornos[ID],AGGREGATE(15,6,(ROW($AB$2:$AB$201)-1)/($AB$2:$AB$201=1),ROWS($AC$2:AC122))),"")</f>
        <v/>
      </c>
      <c r="AD122" s="41">
        <f>IF($AC122="","",INDEX(tblFornos[Data],MATCH($AC122,tblFornos[ID],0)))</f>
        <v/>
      </c>
      <c r="AE122">
        <f>IF($AC122="","",INDEX(tblFornos[Forno],MATCH($AC122,tblFornos[ID],0)))</f>
        <v/>
      </c>
      <c r="AF122">
        <f>IF($AC122="","",INDEX(tblFornos[Tipo],MATCH($AC122,tblFornos[ID],0)))</f>
        <v/>
      </c>
      <c r="AG122">
        <f>IF($AC122="","",INDEX(tblFornos[Lado],MATCH($AC122,tblFornos[ID],0)))</f>
        <v/>
      </c>
    </row>
    <row r="123">
      <c r="AB12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3">
        <f>IFERROR(INDEX(tblFornos[ID],AGGREGATE(15,6,(ROW($AB$2:$AB$201)-1)/($AB$2:$AB$201=1),ROWS($AC$2:AC123))),"")</f>
        <v/>
      </c>
      <c r="AD123" s="41">
        <f>IF($AC123="","",INDEX(tblFornos[Data],MATCH($AC123,tblFornos[ID],0)))</f>
        <v/>
      </c>
      <c r="AE123">
        <f>IF($AC123="","",INDEX(tblFornos[Forno],MATCH($AC123,tblFornos[ID],0)))</f>
        <v/>
      </c>
      <c r="AF123">
        <f>IF($AC123="","",INDEX(tblFornos[Tipo],MATCH($AC123,tblFornos[ID],0)))</f>
        <v/>
      </c>
      <c r="AG123">
        <f>IF($AC123="","",INDEX(tblFornos[Lado],MATCH($AC123,tblFornos[ID],0)))</f>
        <v/>
      </c>
    </row>
    <row r="124">
      <c r="AB12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4">
        <f>IFERROR(INDEX(tblFornos[ID],AGGREGATE(15,6,(ROW($AB$2:$AB$201)-1)/($AB$2:$AB$201=1),ROWS($AC$2:AC124))),"")</f>
        <v/>
      </c>
      <c r="AD124" s="41">
        <f>IF($AC124="","",INDEX(tblFornos[Data],MATCH($AC124,tblFornos[ID],0)))</f>
        <v/>
      </c>
      <c r="AE124">
        <f>IF($AC124="","",INDEX(tblFornos[Forno],MATCH($AC124,tblFornos[ID],0)))</f>
        <v/>
      </c>
      <c r="AF124">
        <f>IF($AC124="","",INDEX(tblFornos[Tipo],MATCH($AC124,tblFornos[ID],0)))</f>
        <v/>
      </c>
      <c r="AG124">
        <f>IF($AC124="","",INDEX(tblFornos[Lado],MATCH($AC124,tblFornos[ID],0)))</f>
        <v/>
      </c>
    </row>
    <row r="125">
      <c r="AB12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5">
        <f>IFERROR(INDEX(tblFornos[ID],AGGREGATE(15,6,(ROW($AB$2:$AB$201)-1)/($AB$2:$AB$201=1),ROWS($AC$2:AC125))),"")</f>
        <v/>
      </c>
      <c r="AD125" s="41">
        <f>IF($AC125="","",INDEX(tblFornos[Data],MATCH($AC125,tblFornos[ID],0)))</f>
        <v/>
      </c>
      <c r="AE125">
        <f>IF($AC125="","",INDEX(tblFornos[Forno],MATCH($AC125,tblFornos[ID],0)))</f>
        <v/>
      </c>
      <c r="AF125">
        <f>IF($AC125="","",INDEX(tblFornos[Tipo],MATCH($AC125,tblFornos[ID],0)))</f>
        <v/>
      </c>
      <c r="AG125">
        <f>IF($AC125="","",INDEX(tblFornos[Lado],MATCH($AC125,tblFornos[ID],0)))</f>
        <v/>
      </c>
    </row>
    <row r="126">
      <c r="AB12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6">
        <f>IFERROR(INDEX(tblFornos[ID],AGGREGATE(15,6,(ROW($AB$2:$AB$201)-1)/($AB$2:$AB$201=1),ROWS($AC$2:AC126))),"")</f>
        <v/>
      </c>
      <c r="AD126" s="41">
        <f>IF($AC126="","",INDEX(tblFornos[Data],MATCH($AC126,tblFornos[ID],0)))</f>
        <v/>
      </c>
      <c r="AE126">
        <f>IF($AC126="","",INDEX(tblFornos[Forno],MATCH($AC126,tblFornos[ID],0)))</f>
        <v/>
      </c>
      <c r="AF126">
        <f>IF($AC126="","",INDEX(tblFornos[Tipo],MATCH($AC126,tblFornos[ID],0)))</f>
        <v/>
      </c>
      <c r="AG126">
        <f>IF($AC126="","",INDEX(tblFornos[Lado],MATCH($AC126,tblFornos[ID],0)))</f>
        <v/>
      </c>
    </row>
    <row r="127">
      <c r="AB12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7">
        <f>IFERROR(INDEX(tblFornos[ID],AGGREGATE(15,6,(ROW($AB$2:$AB$201)-1)/($AB$2:$AB$201=1),ROWS($AC$2:AC127))),"")</f>
        <v/>
      </c>
      <c r="AD127" s="41">
        <f>IF($AC127="","",INDEX(tblFornos[Data],MATCH($AC127,tblFornos[ID],0)))</f>
        <v/>
      </c>
      <c r="AE127">
        <f>IF($AC127="","",INDEX(tblFornos[Forno],MATCH($AC127,tblFornos[ID],0)))</f>
        <v/>
      </c>
      <c r="AF127">
        <f>IF($AC127="","",INDEX(tblFornos[Tipo],MATCH($AC127,tblFornos[ID],0)))</f>
        <v/>
      </c>
      <c r="AG127">
        <f>IF($AC127="","",INDEX(tblFornos[Lado],MATCH($AC127,tblFornos[ID],0)))</f>
        <v/>
      </c>
    </row>
    <row r="128">
      <c r="AB12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8">
        <f>IFERROR(INDEX(tblFornos[ID],AGGREGATE(15,6,(ROW($AB$2:$AB$201)-1)/($AB$2:$AB$201=1),ROWS($AC$2:AC128))),"")</f>
        <v/>
      </c>
      <c r="AD128" s="41">
        <f>IF($AC128="","",INDEX(tblFornos[Data],MATCH($AC128,tblFornos[ID],0)))</f>
        <v/>
      </c>
      <c r="AE128">
        <f>IF($AC128="","",INDEX(tblFornos[Forno],MATCH($AC128,tblFornos[ID],0)))</f>
        <v/>
      </c>
      <c r="AF128">
        <f>IF($AC128="","",INDEX(tblFornos[Tipo],MATCH($AC128,tblFornos[ID],0)))</f>
        <v/>
      </c>
      <c r="AG128">
        <f>IF($AC128="","",INDEX(tblFornos[Lado],MATCH($AC128,tblFornos[ID],0)))</f>
        <v/>
      </c>
    </row>
    <row r="129">
      <c r="AB12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29">
        <f>IFERROR(INDEX(tblFornos[ID],AGGREGATE(15,6,(ROW($AB$2:$AB$201)-1)/($AB$2:$AB$201=1),ROWS($AC$2:AC129))),"")</f>
        <v/>
      </c>
      <c r="AD129" s="41">
        <f>IF($AC129="","",INDEX(tblFornos[Data],MATCH($AC129,tblFornos[ID],0)))</f>
        <v/>
      </c>
      <c r="AE129">
        <f>IF($AC129="","",INDEX(tblFornos[Forno],MATCH($AC129,tblFornos[ID],0)))</f>
        <v/>
      </c>
      <c r="AF129">
        <f>IF($AC129="","",INDEX(tblFornos[Tipo],MATCH($AC129,tblFornos[ID],0)))</f>
        <v/>
      </c>
      <c r="AG129">
        <f>IF($AC129="","",INDEX(tblFornos[Lado],MATCH($AC129,tblFornos[ID],0)))</f>
        <v/>
      </c>
    </row>
    <row r="130">
      <c r="AB13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0">
        <f>IFERROR(INDEX(tblFornos[ID],AGGREGATE(15,6,(ROW($AB$2:$AB$201)-1)/($AB$2:$AB$201=1),ROWS($AC$2:AC130))),"")</f>
        <v/>
      </c>
      <c r="AD130" s="41">
        <f>IF($AC130="","",INDEX(tblFornos[Data],MATCH($AC130,tblFornos[ID],0)))</f>
        <v/>
      </c>
      <c r="AE130">
        <f>IF($AC130="","",INDEX(tblFornos[Forno],MATCH($AC130,tblFornos[ID],0)))</f>
        <v/>
      </c>
      <c r="AF130">
        <f>IF($AC130="","",INDEX(tblFornos[Tipo],MATCH($AC130,tblFornos[ID],0)))</f>
        <v/>
      </c>
      <c r="AG130">
        <f>IF($AC130="","",INDEX(tblFornos[Lado],MATCH($AC130,tblFornos[ID],0)))</f>
        <v/>
      </c>
    </row>
    <row r="131">
      <c r="AB13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1">
        <f>IFERROR(INDEX(tblFornos[ID],AGGREGATE(15,6,(ROW($AB$2:$AB$201)-1)/($AB$2:$AB$201=1),ROWS($AC$2:AC131))),"")</f>
        <v/>
      </c>
      <c r="AD131" s="41">
        <f>IF($AC131="","",INDEX(tblFornos[Data],MATCH($AC131,tblFornos[ID],0)))</f>
        <v/>
      </c>
      <c r="AE131">
        <f>IF($AC131="","",INDEX(tblFornos[Forno],MATCH($AC131,tblFornos[ID],0)))</f>
        <v/>
      </c>
      <c r="AF131">
        <f>IF($AC131="","",INDEX(tblFornos[Tipo],MATCH($AC131,tblFornos[ID],0)))</f>
        <v/>
      </c>
      <c r="AG131">
        <f>IF($AC131="","",INDEX(tblFornos[Lado],MATCH($AC131,tblFornos[ID],0)))</f>
        <v/>
      </c>
    </row>
    <row r="132">
      <c r="AB13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2">
        <f>IFERROR(INDEX(tblFornos[ID],AGGREGATE(15,6,(ROW($AB$2:$AB$201)-1)/($AB$2:$AB$201=1),ROWS($AC$2:AC132))),"")</f>
        <v/>
      </c>
      <c r="AD132" s="41">
        <f>IF($AC132="","",INDEX(tblFornos[Data],MATCH($AC132,tblFornos[ID],0)))</f>
        <v/>
      </c>
      <c r="AE132">
        <f>IF($AC132="","",INDEX(tblFornos[Forno],MATCH($AC132,tblFornos[ID],0)))</f>
        <v/>
      </c>
      <c r="AF132">
        <f>IF($AC132="","",INDEX(tblFornos[Tipo],MATCH($AC132,tblFornos[ID],0)))</f>
        <v/>
      </c>
      <c r="AG132">
        <f>IF($AC132="","",INDEX(tblFornos[Lado],MATCH($AC132,tblFornos[ID],0)))</f>
        <v/>
      </c>
    </row>
    <row r="133">
      <c r="AB13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3">
        <f>IFERROR(INDEX(tblFornos[ID],AGGREGATE(15,6,(ROW($AB$2:$AB$201)-1)/($AB$2:$AB$201=1),ROWS($AC$2:AC133))),"")</f>
        <v/>
      </c>
      <c r="AD133" s="41">
        <f>IF($AC133="","",INDEX(tblFornos[Data],MATCH($AC133,tblFornos[ID],0)))</f>
        <v/>
      </c>
      <c r="AE133">
        <f>IF($AC133="","",INDEX(tblFornos[Forno],MATCH($AC133,tblFornos[ID],0)))</f>
        <v/>
      </c>
      <c r="AF133">
        <f>IF($AC133="","",INDEX(tblFornos[Tipo],MATCH($AC133,tblFornos[ID],0)))</f>
        <v/>
      </c>
      <c r="AG133">
        <f>IF($AC133="","",INDEX(tblFornos[Lado],MATCH($AC133,tblFornos[ID],0)))</f>
        <v/>
      </c>
    </row>
    <row r="134">
      <c r="AB13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4">
        <f>IFERROR(INDEX(tblFornos[ID],AGGREGATE(15,6,(ROW($AB$2:$AB$201)-1)/($AB$2:$AB$201=1),ROWS($AC$2:AC134))),"")</f>
        <v/>
      </c>
      <c r="AD134" s="41">
        <f>IF($AC134="","",INDEX(tblFornos[Data],MATCH($AC134,tblFornos[ID],0)))</f>
        <v/>
      </c>
      <c r="AE134">
        <f>IF($AC134="","",INDEX(tblFornos[Forno],MATCH($AC134,tblFornos[ID],0)))</f>
        <v/>
      </c>
      <c r="AF134">
        <f>IF($AC134="","",INDEX(tblFornos[Tipo],MATCH($AC134,tblFornos[ID],0)))</f>
        <v/>
      </c>
      <c r="AG134">
        <f>IF($AC134="","",INDEX(tblFornos[Lado],MATCH($AC134,tblFornos[ID],0)))</f>
        <v/>
      </c>
    </row>
    <row r="135">
      <c r="AB13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5">
        <f>IFERROR(INDEX(tblFornos[ID],AGGREGATE(15,6,(ROW($AB$2:$AB$201)-1)/($AB$2:$AB$201=1),ROWS($AC$2:AC135))),"")</f>
        <v/>
      </c>
      <c r="AD135" s="41">
        <f>IF($AC135="","",INDEX(tblFornos[Data],MATCH($AC135,tblFornos[ID],0)))</f>
        <v/>
      </c>
      <c r="AE135">
        <f>IF($AC135="","",INDEX(tblFornos[Forno],MATCH($AC135,tblFornos[ID],0)))</f>
        <v/>
      </c>
      <c r="AF135">
        <f>IF($AC135="","",INDEX(tblFornos[Tipo],MATCH($AC135,tblFornos[ID],0)))</f>
        <v/>
      </c>
      <c r="AG135">
        <f>IF($AC135="","",INDEX(tblFornos[Lado],MATCH($AC135,tblFornos[ID],0)))</f>
        <v/>
      </c>
    </row>
    <row r="136">
      <c r="AB13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6">
        <f>IFERROR(INDEX(tblFornos[ID],AGGREGATE(15,6,(ROW($AB$2:$AB$201)-1)/($AB$2:$AB$201=1),ROWS($AC$2:AC136))),"")</f>
        <v/>
      </c>
      <c r="AD136" s="41">
        <f>IF($AC136="","",INDEX(tblFornos[Data],MATCH($AC136,tblFornos[ID],0)))</f>
        <v/>
      </c>
      <c r="AE136">
        <f>IF($AC136="","",INDEX(tblFornos[Forno],MATCH($AC136,tblFornos[ID],0)))</f>
        <v/>
      </c>
      <c r="AF136">
        <f>IF($AC136="","",INDEX(tblFornos[Tipo],MATCH($AC136,tblFornos[ID],0)))</f>
        <v/>
      </c>
      <c r="AG136">
        <f>IF($AC136="","",INDEX(tblFornos[Lado],MATCH($AC136,tblFornos[ID],0)))</f>
        <v/>
      </c>
    </row>
    <row r="137">
      <c r="AB13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7">
        <f>IFERROR(INDEX(tblFornos[ID],AGGREGATE(15,6,(ROW($AB$2:$AB$201)-1)/($AB$2:$AB$201=1),ROWS($AC$2:AC137))),"")</f>
        <v/>
      </c>
      <c r="AD137" s="41">
        <f>IF($AC137="","",INDEX(tblFornos[Data],MATCH($AC137,tblFornos[ID],0)))</f>
        <v/>
      </c>
      <c r="AE137">
        <f>IF($AC137="","",INDEX(tblFornos[Forno],MATCH($AC137,tblFornos[ID],0)))</f>
        <v/>
      </c>
      <c r="AF137">
        <f>IF($AC137="","",INDEX(tblFornos[Tipo],MATCH($AC137,tblFornos[ID],0)))</f>
        <v/>
      </c>
      <c r="AG137">
        <f>IF($AC137="","",INDEX(tblFornos[Lado],MATCH($AC137,tblFornos[ID],0)))</f>
        <v/>
      </c>
    </row>
    <row r="138">
      <c r="AB13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8">
        <f>IFERROR(INDEX(tblFornos[ID],AGGREGATE(15,6,(ROW($AB$2:$AB$201)-1)/($AB$2:$AB$201=1),ROWS($AC$2:AC138))),"")</f>
        <v/>
      </c>
      <c r="AD138" s="41">
        <f>IF($AC138="","",INDEX(tblFornos[Data],MATCH($AC138,tblFornos[ID],0)))</f>
        <v/>
      </c>
      <c r="AE138">
        <f>IF($AC138="","",INDEX(tblFornos[Forno],MATCH($AC138,tblFornos[ID],0)))</f>
        <v/>
      </c>
      <c r="AF138">
        <f>IF($AC138="","",INDEX(tblFornos[Tipo],MATCH($AC138,tblFornos[ID],0)))</f>
        <v/>
      </c>
      <c r="AG138">
        <f>IF($AC138="","",INDEX(tblFornos[Lado],MATCH($AC138,tblFornos[ID],0)))</f>
        <v/>
      </c>
    </row>
    <row r="139">
      <c r="AB13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39">
        <f>IFERROR(INDEX(tblFornos[ID],AGGREGATE(15,6,(ROW($AB$2:$AB$201)-1)/($AB$2:$AB$201=1),ROWS($AC$2:AC139))),"")</f>
        <v/>
      </c>
      <c r="AD139" s="41">
        <f>IF($AC139="","",INDEX(tblFornos[Data],MATCH($AC139,tblFornos[ID],0)))</f>
        <v/>
      </c>
      <c r="AE139">
        <f>IF($AC139="","",INDEX(tblFornos[Forno],MATCH($AC139,tblFornos[ID],0)))</f>
        <v/>
      </c>
      <c r="AF139">
        <f>IF($AC139="","",INDEX(tblFornos[Tipo],MATCH($AC139,tblFornos[ID],0)))</f>
        <v/>
      </c>
      <c r="AG139">
        <f>IF($AC139="","",INDEX(tblFornos[Lado],MATCH($AC139,tblFornos[ID],0)))</f>
        <v/>
      </c>
    </row>
    <row r="140">
      <c r="AB14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0">
        <f>IFERROR(INDEX(tblFornos[ID],AGGREGATE(15,6,(ROW($AB$2:$AB$201)-1)/($AB$2:$AB$201=1),ROWS($AC$2:AC140))),"")</f>
        <v/>
      </c>
      <c r="AD140" s="41">
        <f>IF($AC140="","",INDEX(tblFornos[Data],MATCH($AC140,tblFornos[ID],0)))</f>
        <v/>
      </c>
      <c r="AE140">
        <f>IF($AC140="","",INDEX(tblFornos[Forno],MATCH($AC140,tblFornos[ID],0)))</f>
        <v/>
      </c>
      <c r="AF140">
        <f>IF($AC140="","",INDEX(tblFornos[Tipo],MATCH($AC140,tblFornos[ID],0)))</f>
        <v/>
      </c>
      <c r="AG140">
        <f>IF($AC140="","",INDEX(tblFornos[Lado],MATCH($AC140,tblFornos[ID],0)))</f>
        <v/>
      </c>
    </row>
    <row r="141">
      <c r="AB14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1">
        <f>IFERROR(INDEX(tblFornos[ID],AGGREGATE(15,6,(ROW($AB$2:$AB$201)-1)/($AB$2:$AB$201=1),ROWS($AC$2:AC141))),"")</f>
        <v/>
      </c>
      <c r="AD141" s="41">
        <f>IF($AC141="","",INDEX(tblFornos[Data],MATCH($AC141,tblFornos[ID],0)))</f>
        <v/>
      </c>
      <c r="AE141">
        <f>IF($AC141="","",INDEX(tblFornos[Forno],MATCH($AC141,tblFornos[ID],0)))</f>
        <v/>
      </c>
      <c r="AF141">
        <f>IF($AC141="","",INDEX(tblFornos[Tipo],MATCH($AC141,tblFornos[ID],0)))</f>
        <v/>
      </c>
      <c r="AG141">
        <f>IF($AC141="","",INDEX(tblFornos[Lado],MATCH($AC141,tblFornos[ID],0)))</f>
        <v/>
      </c>
    </row>
    <row r="142">
      <c r="AB14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2">
        <f>IFERROR(INDEX(tblFornos[ID],AGGREGATE(15,6,(ROW($AB$2:$AB$201)-1)/($AB$2:$AB$201=1),ROWS($AC$2:AC142))),"")</f>
        <v/>
      </c>
      <c r="AD142" s="41">
        <f>IF($AC142="","",INDEX(tblFornos[Data],MATCH($AC142,tblFornos[ID],0)))</f>
        <v/>
      </c>
      <c r="AE142">
        <f>IF($AC142="","",INDEX(tblFornos[Forno],MATCH($AC142,tblFornos[ID],0)))</f>
        <v/>
      </c>
      <c r="AF142">
        <f>IF($AC142="","",INDEX(tblFornos[Tipo],MATCH($AC142,tblFornos[ID],0)))</f>
        <v/>
      </c>
      <c r="AG142">
        <f>IF($AC142="","",INDEX(tblFornos[Lado],MATCH($AC142,tblFornos[ID],0)))</f>
        <v/>
      </c>
    </row>
    <row r="143">
      <c r="AB14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3">
        <f>IFERROR(INDEX(tblFornos[ID],AGGREGATE(15,6,(ROW($AB$2:$AB$201)-1)/($AB$2:$AB$201=1),ROWS($AC$2:AC143))),"")</f>
        <v/>
      </c>
      <c r="AD143" s="41">
        <f>IF($AC143="","",INDEX(tblFornos[Data],MATCH($AC143,tblFornos[ID],0)))</f>
        <v/>
      </c>
      <c r="AE143">
        <f>IF($AC143="","",INDEX(tblFornos[Forno],MATCH($AC143,tblFornos[ID],0)))</f>
        <v/>
      </c>
      <c r="AF143">
        <f>IF($AC143="","",INDEX(tblFornos[Tipo],MATCH($AC143,tblFornos[ID],0)))</f>
        <v/>
      </c>
      <c r="AG143">
        <f>IF($AC143="","",INDEX(tblFornos[Lado],MATCH($AC143,tblFornos[ID],0)))</f>
        <v/>
      </c>
    </row>
    <row r="144">
      <c r="AB14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4">
        <f>IFERROR(INDEX(tblFornos[ID],AGGREGATE(15,6,(ROW($AB$2:$AB$201)-1)/($AB$2:$AB$201=1),ROWS($AC$2:AC144))),"")</f>
        <v/>
      </c>
      <c r="AD144" s="41">
        <f>IF($AC144="","",INDEX(tblFornos[Data],MATCH($AC144,tblFornos[ID],0)))</f>
        <v/>
      </c>
      <c r="AE144">
        <f>IF($AC144="","",INDEX(tblFornos[Forno],MATCH($AC144,tblFornos[ID],0)))</f>
        <v/>
      </c>
      <c r="AF144">
        <f>IF($AC144="","",INDEX(tblFornos[Tipo],MATCH($AC144,tblFornos[ID],0)))</f>
        <v/>
      </c>
      <c r="AG144">
        <f>IF($AC144="","",INDEX(tblFornos[Lado],MATCH($AC144,tblFornos[ID],0)))</f>
        <v/>
      </c>
    </row>
    <row r="145">
      <c r="AB14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5">
        <f>IFERROR(INDEX(tblFornos[ID],AGGREGATE(15,6,(ROW($AB$2:$AB$201)-1)/($AB$2:$AB$201=1),ROWS($AC$2:AC145))),"")</f>
        <v/>
      </c>
      <c r="AD145" s="41">
        <f>IF($AC145="","",INDEX(tblFornos[Data],MATCH($AC145,tblFornos[ID],0)))</f>
        <v/>
      </c>
      <c r="AE145">
        <f>IF($AC145="","",INDEX(tblFornos[Forno],MATCH($AC145,tblFornos[ID],0)))</f>
        <v/>
      </c>
      <c r="AF145">
        <f>IF($AC145="","",INDEX(tblFornos[Tipo],MATCH($AC145,tblFornos[ID],0)))</f>
        <v/>
      </c>
      <c r="AG145">
        <f>IF($AC145="","",INDEX(tblFornos[Lado],MATCH($AC145,tblFornos[ID],0)))</f>
        <v/>
      </c>
    </row>
    <row r="146">
      <c r="AB14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6">
        <f>IFERROR(INDEX(tblFornos[ID],AGGREGATE(15,6,(ROW($AB$2:$AB$201)-1)/($AB$2:$AB$201=1),ROWS($AC$2:AC146))),"")</f>
        <v/>
      </c>
      <c r="AD146" s="41">
        <f>IF($AC146="","",INDEX(tblFornos[Data],MATCH($AC146,tblFornos[ID],0)))</f>
        <v/>
      </c>
      <c r="AE146">
        <f>IF($AC146="","",INDEX(tblFornos[Forno],MATCH($AC146,tblFornos[ID],0)))</f>
        <v/>
      </c>
      <c r="AF146">
        <f>IF($AC146="","",INDEX(tblFornos[Tipo],MATCH($AC146,tblFornos[ID],0)))</f>
        <v/>
      </c>
      <c r="AG146">
        <f>IF($AC146="","",INDEX(tblFornos[Lado],MATCH($AC146,tblFornos[ID],0)))</f>
        <v/>
      </c>
    </row>
    <row r="147">
      <c r="AB14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7">
        <f>IFERROR(INDEX(tblFornos[ID],AGGREGATE(15,6,(ROW($AB$2:$AB$201)-1)/($AB$2:$AB$201=1),ROWS($AC$2:AC147))),"")</f>
        <v/>
      </c>
      <c r="AD147" s="41">
        <f>IF($AC147="","",INDEX(tblFornos[Data],MATCH($AC147,tblFornos[ID],0)))</f>
        <v/>
      </c>
      <c r="AE147">
        <f>IF($AC147="","",INDEX(tblFornos[Forno],MATCH($AC147,tblFornos[ID],0)))</f>
        <v/>
      </c>
      <c r="AF147">
        <f>IF($AC147="","",INDEX(tblFornos[Tipo],MATCH($AC147,tblFornos[ID],0)))</f>
        <v/>
      </c>
      <c r="AG147">
        <f>IF($AC147="","",INDEX(tblFornos[Lado],MATCH($AC147,tblFornos[ID],0)))</f>
        <v/>
      </c>
    </row>
    <row r="148">
      <c r="AB14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8">
        <f>IFERROR(INDEX(tblFornos[ID],AGGREGATE(15,6,(ROW($AB$2:$AB$201)-1)/($AB$2:$AB$201=1),ROWS($AC$2:AC148))),"")</f>
        <v/>
      </c>
      <c r="AD148" s="41">
        <f>IF($AC148="","",INDEX(tblFornos[Data],MATCH($AC148,tblFornos[ID],0)))</f>
        <v/>
      </c>
      <c r="AE148">
        <f>IF($AC148="","",INDEX(tblFornos[Forno],MATCH($AC148,tblFornos[ID],0)))</f>
        <v/>
      </c>
      <c r="AF148">
        <f>IF($AC148="","",INDEX(tblFornos[Tipo],MATCH($AC148,tblFornos[ID],0)))</f>
        <v/>
      </c>
      <c r="AG148">
        <f>IF($AC148="","",INDEX(tblFornos[Lado],MATCH($AC148,tblFornos[ID],0)))</f>
        <v/>
      </c>
    </row>
    <row r="149">
      <c r="AB14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49">
        <f>IFERROR(INDEX(tblFornos[ID],AGGREGATE(15,6,(ROW($AB$2:$AB$201)-1)/($AB$2:$AB$201=1),ROWS($AC$2:AC149))),"")</f>
        <v/>
      </c>
      <c r="AD149" s="41">
        <f>IF($AC149="","",INDEX(tblFornos[Data],MATCH($AC149,tblFornos[ID],0)))</f>
        <v/>
      </c>
      <c r="AE149">
        <f>IF($AC149="","",INDEX(tblFornos[Forno],MATCH($AC149,tblFornos[ID],0)))</f>
        <v/>
      </c>
      <c r="AF149">
        <f>IF($AC149="","",INDEX(tblFornos[Tipo],MATCH($AC149,tblFornos[ID],0)))</f>
        <v/>
      </c>
      <c r="AG149">
        <f>IF($AC149="","",INDEX(tblFornos[Lado],MATCH($AC149,tblFornos[ID],0)))</f>
        <v/>
      </c>
    </row>
    <row r="150">
      <c r="AB15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0">
        <f>IFERROR(INDEX(tblFornos[ID],AGGREGATE(15,6,(ROW($AB$2:$AB$201)-1)/($AB$2:$AB$201=1),ROWS($AC$2:AC150))),"")</f>
        <v/>
      </c>
      <c r="AD150" s="41">
        <f>IF($AC150="","",INDEX(tblFornos[Data],MATCH($AC150,tblFornos[ID],0)))</f>
        <v/>
      </c>
      <c r="AE150">
        <f>IF($AC150="","",INDEX(tblFornos[Forno],MATCH($AC150,tblFornos[ID],0)))</f>
        <v/>
      </c>
      <c r="AF150">
        <f>IF($AC150="","",INDEX(tblFornos[Tipo],MATCH($AC150,tblFornos[ID],0)))</f>
        <v/>
      </c>
      <c r="AG150">
        <f>IF($AC150="","",INDEX(tblFornos[Lado],MATCH($AC150,tblFornos[ID],0)))</f>
        <v/>
      </c>
    </row>
    <row r="151">
      <c r="AB15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1">
        <f>IFERROR(INDEX(tblFornos[ID],AGGREGATE(15,6,(ROW($AB$2:$AB$201)-1)/($AB$2:$AB$201=1),ROWS($AC$2:AC151))),"")</f>
        <v/>
      </c>
      <c r="AD151" s="41">
        <f>IF($AC151="","",INDEX(tblFornos[Data],MATCH($AC151,tblFornos[ID],0)))</f>
        <v/>
      </c>
      <c r="AE151">
        <f>IF($AC151="","",INDEX(tblFornos[Forno],MATCH($AC151,tblFornos[ID],0)))</f>
        <v/>
      </c>
      <c r="AF151">
        <f>IF($AC151="","",INDEX(tblFornos[Tipo],MATCH($AC151,tblFornos[ID],0)))</f>
        <v/>
      </c>
      <c r="AG151">
        <f>IF($AC151="","",INDEX(tblFornos[Lado],MATCH($AC151,tblFornos[ID],0)))</f>
        <v/>
      </c>
    </row>
    <row r="152">
      <c r="AB15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2">
        <f>IFERROR(INDEX(tblFornos[ID],AGGREGATE(15,6,(ROW($AB$2:$AB$201)-1)/($AB$2:$AB$201=1),ROWS($AC$2:AC152))),"")</f>
        <v/>
      </c>
      <c r="AD152" s="41">
        <f>IF($AC152="","",INDEX(tblFornos[Data],MATCH($AC152,tblFornos[ID],0)))</f>
        <v/>
      </c>
      <c r="AE152">
        <f>IF($AC152="","",INDEX(tblFornos[Forno],MATCH($AC152,tblFornos[ID],0)))</f>
        <v/>
      </c>
      <c r="AF152">
        <f>IF($AC152="","",INDEX(tblFornos[Tipo],MATCH($AC152,tblFornos[ID],0)))</f>
        <v/>
      </c>
      <c r="AG152">
        <f>IF($AC152="","",INDEX(tblFornos[Lado],MATCH($AC152,tblFornos[ID],0)))</f>
        <v/>
      </c>
    </row>
    <row r="153">
      <c r="AB15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3">
        <f>IFERROR(INDEX(tblFornos[ID],AGGREGATE(15,6,(ROW($AB$2:$AB$201)-1)/($AB$2:$AB$201=1),ROWS($AC$2:AC153))),"")</f>
        <v/>
      </c>
      <c r="AD153" s="41">
        <f>IF($AC153="","",INDEX(tblFornos[Data],MATCH($AC153,tblFornos[ID],0)))</f>
        <v/>
      </c>
      <c r="AE153">
        <f>IF($AC153="","",INDEX(tblFornos[Forno],MATCH($AC153,tblFornos[ID],0)))</f>
        <v/>
      </c>
      <c r="AF153">
        <f>IF($AC153="","",INDEX(tblFornos[Tipo],MATCH($AC153,tblFornos[ID],0)))</f>
        <v/>
      </c>
      <c r="AG153">
        <f>IF($AC153="","",INDEX(tblFornos[Lado],MATCH($AC153,tblFornos[ID],0)))</f>
        <v/>
      </c>
    </row>
    <row r="154">
      <c r="AB15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4">
        <f>IFERROR(INDEX(tblFornos[ID],AGGREGATE(15,6,(ROW($AB$2:$AB$201)-1)/($AB$2:$AB$201=1),ROWS($AC$2:AC154))),"")</f>
        <v/>
      </c>
      <c r="AD154" s="41">
        <f>IF($AC154="","",INDEX(tblFornos[Data],MATCH($AC154,tblFornos[ID],0)))</f>
        <v/>
      </c>
      <c r="AE154">
        <f>IF($AC154="","",INDEX(tblFornos[Forno],MATCH($AC154,tblFornos[ID],0)))</f>
        <v/>
      </c>
      <c r="AF154">
        <f>IF($AC154="","",INDEX(tblFornos[Tipo],MATCH($AC154,tblFornos[ID],0)))</f>
        <v/>
      </c>
      <c r="AG154">
        <f>IF($AC154="","",INDEX(tblFornos[Lado],MATCH($AC154,tblFornos[ID],0)))</f>
        <v/>
      </c>
    </row>
    <row r="155">
      <c r="AB15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5">
        <f>IFERROR(INDEX(tblFornos[ID],AGGREGATE(15,6,(ROW($AB$2:$AB$201)-1)/($AB$2:$AB$201=1),ROWS($AC$2:AC155))),"")</f>
        <v/>
      </c>
      <c r="AD155" s="41">
        <f>IF($AC155="","",INDEX(tblFornos[Data],MATCH($AC155,tblFornos[ID],0)))</f>
        <v/>
      </c>
      <c r="AE155">
        <f>IF($AC155="","",INDEX(tblFornos[Forno],MATCH($AC155,tblFornos[ID],0)))</f>
        <v/>
      </c>
      <c r="AF155">
        <f>IF($AC155="","",INDEX(tblFornos[Tipo],MATCH($AC155,tblFornos[ID],0)))</f>
        <v/>
      </c>
      <c r="AG155">
        <f>IF($AC155="","",INDEX(tblFornos[Lado],MATCH($AC155,tblFornos[ID],0)))</f>
        <v/>
      </c>
    </row>
    <row r="156">
      <c r="AB15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6">
        <f>IFERROR(INDEX(tblFornos[ID],AGGREGATE(15,6,(ROW($AB$2:$AB$201)-1)/($AB$2:$AB$201=1),ROWS($AC$2:AC156))),"")</f>
        <v/>
      </c>
      <c r="AD156" s="41">
        <f>IF($AC156="","",INDEX(tblFornos[Data],MATCH($AC156,tblFornos[ID],0)))</f>
        <v/>
      </c>
      <c r="AE156">
        <f>IF($AC156="","",INDEX(tblFornos[Forno],MATCH($AC156,tblFornos[ID],0)))</f>
        <v/>
      </c>
      <c r="AF156">
        <f>IF($AC156="","",INDEX(tblFornos[Tipo],MATCH($AC156,tblFornos[ID],0)))</f>
        <v/>
      </c>
      <c r="AG156">
        <f>IF($AC156="","",INDEX(tblFornos[Lado],MATCH($AC156,tblFornos[ID],0)))</f>
        <v/>
      </c>
    </row>
    <row r="157">
      <c r="AB15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7">
        <f>IFERROR(INDEX(tblFornos[ID],AGGREGATE(15,6,(ROW($AB$2:$AB$201)-1)/($AB$2:$AB$201=1),ROWS($AC$2:AC157))),"")</f>
        <v/>
      </c>
      <c r="AD157" s="41">
        <f>IF($AC157="","",INDEX(tblFornos[Data],MATCH($AC157,tblFornos[ID],0)))</f>
        <v/>
      </c>
      <c r="AE157">
        <f>IF($AC157="","",INDEX(tblFornos[Forno],MATCH($AC157,tblFornos[ID],0)))</f>
        <v/>
      </c>
      <c r="AF157">
        <f>IF($AC157="","",INDEX(tblFornos[Tipo],MATCH($AC157,tblFornos[ID],0)))</f>
        <v/>
      </c>
      <c r="AG157">
        <f>IF($AC157="","",INDEX(tblFornos[Lado],MATCH($AC157,tblFornos[ID],0)))</f>
        <v/>
      </c>
    </row>
    <row r="158">
      <c r="AB15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8">
        <f>IFERROR(INDEX(tblFornos[ID],AGGREGATE(15,6,(ROW($AB$2:$AB$201)-1)/($AB$2:$AB$201=1),ROWS($AC$2:AC158))),"")</f>
        <v/>
      </c>
      <c r="AD158" s="41">
        <f>IF($AC158="","",INDEX(tblFornos[Data],MATCH($AC158,tblFornos[ID],0)))</f>
        <v/>
      </c>
      <c r="AE158">
        <f>IF($AC158="","",INDEX(tblFornos[Forno],MATCH($AC158,tblFornos[ID],0)))</f>
        <v/>
      </c>
      <c r="AF158">
        <f>IF($AC158="","",INDEX(tblFornos[Tipo],MATCH($AC158,tblFornos[ID],0)))</f>
        <v/>
      </c>
      <c r="AG158">
        <f>IF($AC158="","",INDEX(tblFornos[Lado],MATCH($AC158,tblFornos[ID],0)))</f>
        <v/>
      </c>
    </row>
    <row r="159">
      <c r="AB15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59">
        <f>IFERROR(INDEX(tblFornos[ID],AGGREGATE(15,6,(ROW($AB$2:$AB$201)-1)/($AB$2:$AB$201=1),ROWS($AC$2:AC159))),"")</f>
        <v/>
      </c>
      <c r="AD159" s="41">
        <f>IF($AC159="","",INDEX(tblFornos[Data],MATCH($AC159,tblFornos[ID],0)))</f>
        <v/>
      </c>
      <c r="AE159">
        <f>IF($AC159="","",INDEX(tblFornos[Forno],MATCH($AC159,tblFornos[ID],0)))</f>
        <v/>
      </c>
      <c r="AF159">
        <f>IF($AC159="","",INDEX(tblFornos[Tipo],MATCH($AC159,tblFornos[ID],0)))</f>
        <v/>
      </c>
      <c r="AG159">
        <f>IF($AC159="","",INDEX(tblFornos[Lado],MATCH($AC159,tblFornos[ID],0)))</f>
        <v/>
      </c>
    </row>
    <row r="160">
      <c r="AB16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0">
        <f>IFERROR(INDEX(tblFornos[ID],AGGREGATE(15,6,(ROW($AB$2:$AB$201)-1)/($AB$2:$AB$201=1),ROWS($AC$2:AC160))),"")</f>
        <v/>
      </c>
      <c r="AD160" s="41">
        <f>IF($AC160="","",INDEX(tblFornos[Data],MATCH($AC160,tblFornos[ID],0)))</f>
        <v/>
      </c>
      <c r="AE160">
        <f>IF($AC160="","",INDEX(tblFornos[Forno],MATCH($AC160,tblFornos[ID],0)))</f>
        <v/>
      </c>
      <c r="AF160">
        <f>IF($AC160="","",INDEX(tblFornos[Tipo],MATCH($AC160,tblFornos[ID],0)))</f>
        <v/>
      </c>
      <c r="AG160">
        <f>IF($AC160="","",INDEX(tblFornos[Lado],MATCH($AC160,tblFornos[ID],0)))</f>
        <v/>
      </c>
    </row>
    <row r="161">
      <c r="AB16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1">
        <f>IFERROR(INDEX(tblFornos[ID],AGGREGATE(15,6,(ROW($AB$2:$AB$201)-1)/($AB$2:$AB$201=1),ROWS($AC$2:AC161))),"")</f>
        <v/>
      </c>
      <c r="AD161" s="41">
        <f>IF($AC161="","",INDEX(tblFornos[Data],MATCH($AC161,tblFornos[ID],0)))</f>
        <v/>
      </c>
      <c r="AE161">
        <f>IF($AC161="","",INDEX(tblFornos[Forno],MATCH($AC161,tblFornos[ID],0)))</f>
        <v/>
      </c>
      <c r="AF161">
        <f>IF($AC161="","",INDEX(tblFornos[Tipo],MATCH($AC161,tblFornos[ID],0)))</f>
        <v/>
      </c>
      <c r="AG161">
        <f>IF($AC161="","",INDEX(tblFornos[Lado],MATCH($AC161,tblFornos[ID],0)))</f>
        <v/>
      </c>
    </row>
    <row r="162">
      <c r="AB16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2">
        <f>IFERROR(INDEX(tblFornos[ID],AGGREGATE(15,6,(ROW($AB$2:$AB$201)-1)/($AB$2:$AB$201=1),ROWS($AC$2:AC162))),"")</f>
        <v/>
      </c>
      <c r="AD162" s="41">
        <f>IF($AC162="","",INDEX(tblFornos[Data],MATCH($AC162,tblFornos[ID],0)))</f>
        <v/>
      </c>
      <c r="AE162">
        <f>IF($AC162="","",INDEX(tblFornos[Forno],MATCH($AC162,tblFornos[ID],0)))</f>
        <v/>
      </c>
      <c r="AF162">
        <f>IF($AC162="","",INDEX(tblFornos[Tipo],MATCH($AC162,tblFornos[ID],0)))</f>
        <v/>
      </c>
      <c r="AG162">
        <f>IF($AC162="","",INDEX(tblFornos[Lado],MATCH($AC162,tblFornos[ID],0)))</f>
        <v/>
      </c>
    </row>
    <row r="163">
      <c r="AB16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3">
        <f>IFERROR(INDEX(tblFornos[ID],AGGREGATE(15,6,(ROW($AB$2:$AB$201)-1)/($AB$2:$AB$201=1),ROWS($AC$2:AC163))),"")</f>
        <v/>
      </c>
      <c r="AD163" s="41">
        <f>IF($AC163="","",INDEX(tblFornos[Data],MATCH($AC163,tblFornos[ID],0)))</f>
        <v/>
      </c>
      <c r="AE163">
        <f>IF($AC163="","",INDEX(tblFornos[Forno],MATCH($AC163,tblFornos[ID],0)))</f>
        <v/>
      </c>
      <c r="AF163">
        <f>IF($AC163="","",INDEX(tblFornos[Tipo],MATCH($AC163,tblFornos[ID],0)))</f>
        <v/>
      </c>
      <c r="AG163">
        <f>IF($AC163="","",INDEX(tblFornos[Lado],MATCH($AC163,tblFornos[ID],0)))</f>
        <v/>
      </c>
    </row>
    <row r="164">
      <c r="AB16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4">
        <f>IFERROR(INDEX(tblFornos[ID],AGGREGATE(15,6,(ROW($AB$2:$AB$201)-1)/($AB$2:$AB$201=1),ROWS($AC$2:AC164))),"")</f>
        <v/>
      </c>
      <c r="AD164" s="41">
        <f>IF($AC164="","",INDEX(tblFornos[Data],MATCH($AC164,tblFornos[ID],0)))</f>
        <v/>
      </c>
      <c r="AE164">
        <f>IF($AC164="","",INDEX(tblFornos[Forno],MATCH($AC164,tblFornos[ID],0)))</f>
        <v/>
      </c>
      <c r="AF164">
        <f>IF($AC164="","",INDEX(tblFornos[Tipo],MATCH($AC164,tblFornos[ID],0)))</f>
        <v/>
      </c>
      <c r="AG164">
        <f>IF($AC164="","",INDEX(tblFornos[Lado],MATCH($AC164,tblFornos[ID],0)))</f>
        <v/>
      </c>
    </row>
    <row r="165">
      <c r="AB16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5">
        <f>IFERROR(INDEX(tblFornos[ID],AGGREGATE(15,6,(ROW($AB$2:$AB$201)-1)/($AB$2:$AB$201=1),ROWS($AC$2:AC165))),"")</f>
        <v/>
      </c>
      <c r="AD165" s="41">
        <f>IF($AC165="","",INDEX(tblFornos[Data],MATCH($AC165,tblFornos[ID],0)))</f>
        <v/>
      </c>
      <c r="AE165">
        <f>IF($AC165="","",INDEX(tblFornos[Forno],MATCH($AC165,tblFornos[ID],0)))</f>
        <v/>
      </c>
      <c r="AF165">
        <f>IF($AC165="","",INDEX(tblFornos[Tipo],MATCH($AC165,tblFornos[ID],0)))</f>
        <v/>
      </c>
      <c r="AG165">
        <f>IF($AC165="","",INDEX(tblFornos[Lado],MATCH($AC165,tblFornos[ID],0)))</f>
        <v/>
      </c>
    </row>
    <row r="166">
      <c r="AB16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6">
        <f>IFERROR(INDEX(tblFornos[ID],AGGREGATE(15,6,(ROW($AB$2:$AB$201)-1)/($AB$2:$AB$201=1),ROWS($AC$2:AC166))),"")</f>
        <v/>
      </c>
      <c r="AD166" s="41">
        <f>IF($AC166="","",INDEX(tblFornos[Data],MATCH($AC166,tblFornos[ID],0)))</f>
        <v/>
      </c>
      <c r="AE166">
        <f>IF($AC166="","",INDEX(tblFornos[Forno],MATCH($AC166,tblFornos[ID],0)))</f>
        <v/>
      </c>
      <c r="AF166">
        <f>IF($AC166="","",INDEX(tblFornos[Tipo],MATCH($AC166,tblFornos[ID],0)))</f>
        <v/>
      </c>
      <c r="AG166">
        <f>IF($AC166="","",INDEX(tblFornos[Lado],MATCH($AC166,tblFornos[ID],0)))</f>
        <v/>
      </c>
    </row>
    <row r="167">
      <c r="AB16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7">
        <f>IFERROR(INDEX(tblFornos[ID],AGGREGATE(15,6,(ROW($AB$2:$AB$201)-1)/($AB$2:$AB$201=1),ROWS($AC$2:AC167))),"")</f>
        <v/>
      </c>
      <c r="AD167" s="41">
        <f>IF($AC167="","",INDEX(tblFornos[Data],MATCH($AC167,tblFornos[ID],0)))</f>
        <v/>
      </c>
      <c r="AE167">
        <f>IF($AC167="","",INDEX(tblFornos[Forno],MATCH($AC167,tblFornos[ID],0)))</f>
        <v/>
      </c>
      <c r="AF167">
        <f>IF($AC167="","",INDEX(tblFornos[Tipo],MATCH($AC167,tblFornos[ID],0)))</f>
        <v/>
      </c>
      <c r="AG167">
        <f>IF($AC167="","",INDEX(tblFornos[Lado],MATCH($AC167,tblFornos[ID],0)))</f>
        <v/>
      </c>
    </row>
    <row r="168">
      <c r="AB16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8">
        <f>IFERROR(INDEX(tblFornos[ID],AGGREGATE(15,6,(ROW($AB$2:$AB$201)-1)/($AB$2:$AB$201=1),ROWS($AC$2:AC168))),"")</f>
        <v/>
      </c>
      <c r="AD168" s="41">
        <f>IF($AC168="","",INDEX(tblFornos[Data],MATCH($AC168,tblFornos[ID],0)))</f>
        <v/>
      </c>
      <c r="AE168">
        <f>IF($AC168="","",INDEX(tblFornos[Forno],MATCH($AC168,tblFornos[ID],0)))</f>
        <v/>
      </c>
      <c r="AF168">
        <f>IF($AC168="","",INDEX(tblFornos[Tipo],MATCH($AC168,tblFornos[ID],0)))</f>
        <v/>
      </c>
      <c r="AG168">
        <f>IF($AC168="","",INDEX(tblFornos[Lado],MATCH($AC168,tblFornos[ID],0)))</f>
        <v/>
      </c>
    </row>
    <row r="169">
      <c r="AB16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69">
        <f>IFERROR(INDEX(tblFornos[ID],AGGREGATE(15,6,(ROW($AB$2:$AB$201)-1)/($AB$2:$AB$201=1),ROWS($AC$2:AC169))),"")</f>
        <v/>
      </c>
      <c r="AD169" s="41">
        <f>IF($AC169="","",INDEX(tblFornos[Data],MATCH($AC169,tblFornos[ID],0)))</f>
        <v/>
      </c>
      <c r="AE169">
        <f>IF($AC169="","",INDEX(tblFornos[Forno],MATCH($AC169,tblFornos[ID],0)))</f>
        <v/>
      </c>
      <c r="AF169">
        <f>IF($AC169="","",INDEX(tblFornos[Tipo],MATCH($AC169,tblFornos[ID],0)))</f>
        <v/>
      </c>
      <c r="AG169">
        <f>IF($AC169="","",INDEX(tblFornos[Lado],MATCH($AC169,tblFornos[ID],0)))</f>
        <v/>
      </c>
    </row>
    <row r="170">
      <c r="AB17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0">
        <f>IFERROR(INDEX(tblFornos[ID],AGGREGATE(15,6,(ROW($AB$2:$AB$201)-1)/($AB$2:$AB$201=1),ROWS($AC$2:AC170))),"")</f>
        <v/>
      </c>
      <c r="AD170" s="41">
        <f>IF($AC170="","",INDEX(tblFornos[Data],MATCH($AC170,tblFornos[ID],0)))</f>
        <v/>
      </c>
      <c r="AE170">
        <f>IF($AC170="","",INDEX(tblFornos[Forno],MATCH($AC170,tblFornos[ID],0)))</f>
        <v/>
      </c>
      <c r="AF170">
        <f>IF($AC170="","",INDEX(tblFornos[Tipo],MATCH($AC170,tblFornos[ID],0)))</f>
        <v/>
      </c>
      <c r="AG170">
        <f>IF($AC170="","",INDEX(tblFornos[Lado],MATCH($AC170,tblFornos[ID],0)))</f>
        <v/>
      </c>
    </row>
    <row r="171">
      <c r="AB17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1">
        <f>IFERROR(INDEX(tblFornos[ID],AGGREGATE(15,6,(ROW($AB$2:$AB$201)-1)/($AB$2:$AB$201=1),ROWS($AC$2:AC171))),"")</f>
        <v/>
      </c>
      <c r="AD171" s="41">
        <f>IF($AC171="","",INDEX(tblFornos[Data],MATCH($AC171,tblFornos[ID],0)))</f>
        <v/>
      </c>
      <c r="AE171">
        <f>IF($AC171="","",INDEX(tblFornos[Forno],MATCH($AC171,tblFornos[ID],0)))</f>
        <v/>
      </c>
      <c r="AF171">
        <f>IF($AC171="","",INDEX(tblFornos[Tipo],MATCH($AC171,tblFornos[ID],0)))</f>
        <v/>
      </c>
      <c r="AG171">
        <f>IF($AC171="","",INDEX(tblFornos[Lado],MATCH($AC171,tblFornos[ID],0)))</f>
        <v/>
      </c>
    </row>
    <row r="172">
      <c r="AB17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2">
        <f>IFERROR(INDEX(tblFornos[ID],AGGREGATE(15,6,(ROW($AB$2:$AB$201)-1)/($AB$2:$AB$201=1),ROWS($AC$2:AC172))),"")</f>
        <v/>
      </c>
      <c r="AD172" s="41">
        <f>IF($AC172="","",INDEX(tblFornos[Data],MATCH($AC172,tblFornos[ID],0)))</f>
        <v/>
      </c>
      <c r="AE172">
        <f>IF($AC172="","",INDEX(tblFornos[Forno],MATCH($AC172,tblFornos[ID],0)))</f>
        <v/>
      </c>
      <c r="AF172">
        <f>IF($AC172="","",INDEX(tblFornos[Tipo],MATCH($AC172,tblFornos[ID],0)))</f>
        <v/>
      </c>
      <c r="AG172">
        <f>IF($AC172="","",INDEX(tblFornos[Lado],MATCH($AC172,tblFornos[ID],0)))</f>
        <v/>
      </c>
    </row>
    <row r="173">
      <c r="AB17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3">
        <f>IFERROR(INDEX(tblFornos[ID],AGGREGATE(15,6,(ROW($AB$2:$AB$201)-1)/($AB$2:$AB$201=1),ROWS($AC$2:AC173))),"")</f>
        <v/>
      </c>
      <c r="AD173" s="41">
        <f>IF($AC173="","",INDEX(tblFornos[Data],MATCH($AC173,tblFornos[ID],0)))</f>
        <v/>
      </c>
      <c r="AE173">
        <f>IF($AC173="","",INDEX(tblFornos[Forno],MATCH($AC173,tblFornos[ID],0)))</f>
        <v/>
      </c>
      <c r="AF173">
        <f>IF($AC173="","",INDEX(tblFornos[Tipo],MATCH($AC173,tblFornos[ID],0)))</f>
        <v/>
      </c>
      <c r="AG173">
        <f>IF($AC173="","",INDEX(tblFornos[Lado],MATCH($AC173,tblFornos[ID],0)))</f>
        <v/>
      </c>
    </row>
    <row r="174">
      <c r="AB17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4">
        <f>IFERROR(INDEX(tblFornos[ID],AGGREGATE(15,6,(ROW($AB$2:$AB$201)-1)/($AB$2:$AB$201=1),ROWS($AC$2:AC174))),"")</f>
        <v/>
      </c>
      <c r="AD174" s="41">
        <f>IF($AC174="","",INDEX(tblFornos[Data],MATCH($AC174,tblFornos[ID],0)))</f>
        <v/>
      </c>
      <c r="AE174">
        <f>IF($AC174="","",INDEX(tblFornos[Forno],MATCH($AC174,tblFornos[ID],0)))</f>
        <v/>
      </c>
      <c r="AF174">
        <f>IF($AC174="","",INDEX(tblFornos[Tipo],MATCH($AC174,tblFornos[ID],0)))</f>
        <v/>
      </c>
      <c r="AG174">
        <f>IF($AC174="","",INDEX(tblFornos[Lado],MATCH($AC174,tblFornos[ID],0)))</f>
        <v/>
      </c>
    </row>
    <row r="175">
      <c r="AB17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5">
        <f>IFERROR(INDEX(tblFornos[ID],AGGREGATE(15,6,(ROW($AB$2:$AB$201)-1)/($AB$2:$AB$201=1),ROWS($AC$2:AC175))),"")</f>
        <v/>
      </c>
      <c r="AD175" s="41">
        <f>IF($AC175="","",INDEX(tblFornos[Data],MATCH($AC175,tblFornos[ID],0)))</f>
        <v/>
      </c>
      <c r="AE175">
        <f>IF($AC175="","",INDEX(tblFornos[Forno],MATCH($AC175,tblFornos[ID],0)))</f>
        <v/>
      </c>
      <c r="AF175">
        <f>IF($AC175="","",INDEX(tblFornos[Tipo],MATCH($AC175,tblFornos[ID],0)))</f>
        <v/>
      </c>
      <c r="AG175">
        <f>IF($AC175="","",INDEX(tblFornos[Lado],MATCH($AC175,tblFornos[ID],0)))</f>
        <v/>
      </c>
    </row>
    <row r="176">
      <c r="AB17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6">
        <f>IFERROR(INDEX(tblFornos[ID],AGGREGATE(15,6,(ROW($AB$2:$AB$201)-1)/($AB$2:$AB$201=1),ROWS($AC$2:AC176))),"")</f>
        <v/>
      </c>
      <c r="AD176" s="41">
        <f>IF($AC176="","",INDEX(tblFornos[Data],MATCH($AC176,tblFornos[ID],0)))</f>
        <v/>
      </c>
      <c r="AE176">
        <f>IF($AC176="","",INDEX(tblFornos[Forno],MATCH($AC176,tblFornos[ID],0)))</f>
        <v/>
      </c>
      <c r="AF176">
        <f>IF($AC176="","",INDEX(tblFornos[Tipo],MATCH($AC176,tblFornos[ID],0)))</f>
        <v/>
      </c>
      <c r="AG176">
        <f>IF($AC176="","",INDEX(tblFornos[Lado],MATCH($AC176,tblFornos[ID],0)))</f>
        <v/>
      </c>
    </row>
    <row r="177">
      <c r="AB17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7">
        <f>IFERROR(INDEX(tblFornos[ID],AGGREGATE(15,6,(ROW($AB$2:$AB$201)-1)/($AB$2:$AB$201=1),ROWS($AC$2:AC177))),"")</f>
        <v/>
      </c>
      <c r="AD177" s="41">
        <f>IF($AC177="","",INDEX(tblFornos[Data],MATCH($AC177,tblFornos[ID],0)))</f>
        <v/>
      </c>
      <c r="AE177">
        <f>IF($AC177="","",INDEX(tblFornos[Forno],MATCH($AC177,tblFornos[ID],0)))</f>
        <v/>
      </c>
      <c r="AF177">
        <f>IF($AC177="","",INDEX(tblFornos[Tipo],MATCH($AC177,tblFornos[ID],0)))</f>
        <v/>
      </c>
      <c r="AG177">
        <f>IF($AC177="","",INDEX(tblFornos[Lado],MATCH($AC177,tblFornos[ID],0)))</f>
        <v/>
      </c>
    </row>
    <row r="178">
      <c r="AB17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8">
        <f>IFERROR(INDEX(tblFornos[ID],AGGREGATE(15,6,(ROW($AB$2:$AB$201)-1)/($AB$2:$AB$201=1),ROWS($AC$2:AC178))),"")</f>
        <v/>
      </c>
      <c r="AD178" s="41">
        <f>IF($AC178="","",INDEX(tblFornos[Data],MATCH($AC178,tblFornos[ID],0)))</f>
        <v/>
      </c>
      <c r="AE178">
        <f>IF($AC178="","",INDEX(tblFornos[Forno],MATCH($AC178,tblFornos[ID],0)))</f>
        <v/>
      </c>
      <c r="AF178">
        <f>IF($AC178="","",INDEX(tblFornos[Tipo],MATCH($AC178,tblFornos[ID],0)))</f>
        <v/>
      </c>
      <c r="AG178">
        <f>IF($AC178="","",INDEX(tblFornos[Lado],MATCH($AC178,tblFornos[ID],0)))</f>
        <v/>
      </c>
    </row>
    <row r="179">
      <c r="AB17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79">
        <f>IFERROR(INDEX(tblFornos[ID],AGGREGATE(15,6,(ROW($AB$2:$AB$201)-1)/($AB$2:$AB$201=1),ROWS($AC$2:AC179))),"")</f>
        <v/>
      </c>
      <c r="AD179" s="41">
        <f>IF($AC179="","",INDEX(tblFornos[Data],MATCH($AC179,tblFornos[ID],0)))</f>
        <v/>
      </c>
      <c r="AE179">
        <f>IF($AC179="","",INDEX(tblFornos[Forno],MATCH($AC179,tblFornos[ID],0)))</f>
        <v/>
      </c>
      <c r="AF179">
        <f>IF($AC179="","",INDEX(tblFornos[Tipo],MATCH($AC179,tblFornos[ID],0)))</f>
        <v/>
      </c>
      <c r="AG179">
        <f>IF($AC179="","",INDEX(tblFornos[Lado],MATCH($AC179,tblFornos[ID],0)))</f>
        <v/>
      </c>
    </row>
    <row r="180">
      <c r="AB18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0">
        <f>IFERROR(INDEX(tblFornos[ID],AGGREGATE(15,6,(ROW($AB$2:$AB$201)-1)/($AB$2:$AB$201=1),ROWS($AC$2:AC180))),"")</f>
        <v/>
      </c>
      <c r="AD180" s="41">
        <f>IF($AC180="","",INDEX(tblFornos[Data],MATCH($AC180,tblFornos[ID],0)))</f>
        <v/>
      </c>
      <c r="AE180">
        <f>IF($AC180="","",INDEX(tblFornos[Forno],MATCH($AC180,tblFornos[ID],0)))</f>
        <v/>
      </c>
      <c r="AF180">
        <f>IF($AC180="","",INDEX(tblFornos[Tipo],MATCH($AC180,tblFornos[ID],0)))</f>
        <v/>
      </c>
      <c r="AG180">
        <f>IF($AC180="","",INDEX(tblFornos[Lado],MATCH($AC180,tblFornos[ID],0)))</f>
        <v/>
      </c>
    </row>
    <row r="181">
      <c r="AB18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1">
        <f>IFERROR(INDEX(tblFornos[ID],AGGREGATE(15,6,(ROW($AB$2:$AB$201)-1)/($AB$2:$AB$201=1),ROWS($AC$2:AC181))),"")</f>
        <v/>
      </c>
      <c r="AD181" s="41">
        <f>IF($AC181="","",INDEX(tblFornos[Data],MATCH($AC181,tblFornos[ID],0)))</f>
        <v/>
      </c>
      <c r="AE181">
        <f>IF($AC181="","",INDEX(tblFornos[Forno],MATCH($AC181,tblFornos[ID],0)))</f>
        <v/>
      </c>
      <c r="AF181">
        <f>IF($AC181="","",INDEX(tblFornos[Tipo],MATCH($AC181,tblFornos[ID],0)))</f>
        <v/>
      </c>
      <c r="AG181">
        <f>IF($AC181="","",INDEX(tblFornos[Lado],MATCH($AC181,tblFornos[ID],0)))</f>
        <v/>
      </c>
    </row>
    <row r="182">
      <c r="AB18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2">
        <f>IFERROR(INDEX(tblFornos[ID],AGGREGATE(15,6,(ROW($AB$2:$AB$201)-1)/($AB$2:$AB$201=1),ROWS($AC$2:AC182))),"")</f>
        <v/>
      </c>
      <c r="AD182" s="41">
        <f>IF($AC182="","",INDEX(tblFornos[Data],MATCH($AC182,tblFornos[ID],0)))</f>
        <v/>
      </c>
      <c r="AE182">
        <f>IF($AC182="","",INDEX(tblFornos[Forno],MATCH($AC182,tblFornos[ID],0)))</f>
        <v/>
      </c>
      <c r="AF182">
        <f>IF($AC182="","",INDEX(tblFornos[Tipo],MATCH($AC182,tblFornos[ID],0)))</f>
        <v/>
      </c>
      <c r="AG182">
        <f>IF($AC182="","",INDEX(tblFornos[Lado],MATCH($AC182,tblFornos[ID],0)))</f>
        <v/>
      </c>
    </row>
    <row r="183">
      <c r="AB18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3">
        <f>IFERROR(INDEX(tblFornos[ID],AGGREGATE(15,6,(ROW($AB$2:$AB$201)-1)/($AB$2:$AB$201=1),ROWS($AC$2:AC183))),"")</f>
        <v/>
      </c>
      <c r="AD183" s="41">
        <f>IF($AC183="","",INDEX(tblFornos[Data],MATCH($AC183,tblFornos[ID],0)))</f>
        <v/>
      </c>
      <c r="AE183">
        <f>IF($AC183="","",INDEX(tblFornos[Forno],MATCH($AC183,tblFornos[ID],0)))</f>
        <v/>
      </c>
      <c r="AF183">
        <f>IF($AC183="","",INDEX(tblFornos[Tipo],MATCH($AC183,tblFornos[ID],0)))</f>
        <v/>
      </c>
      <c r="AG183">
        <f>IF($AC183="","",INDEX(tblFornos[Lado],MATCH($AC183,tblFornos[ID],0)))</f>
        <v/>
      </c>
    </row>
    <row r="184">
      <c r="AB18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4">
        <f>IFERROR(INDEX(tblFornos[ID],AGGREGATE(15,6,(ROW($AB$2:$AB$201)-1)/($AB$2:$AB$201=1),ROWS($AC$2:AC184))),"")</f>
        <v/>
      </c>
      <c r="AD184" s="41">
        <f>IF($AC184="","",INDEX(tblFornos[Data],MATCH($AC184,tblFornos[ID],0)))</f>
        <v/>
      </c>
      <c r="AE184">
        <f>IF($AC184="","",INDEX(tblFornos[Forno],MATCH($AC184,tblFornos[ID],0)))</f>
        <v/>
      </c>
      <c r="AF184">
        <f>IF($AC184="","",INDEX(tblFornos[Tipo],MATCH($AC184,tblFornos[ID],0)))</f>
        <v/>
      </c>
      <c r="AG184">
        <f>IF($AC184="","",INDEX(tblFornos[Lado],MATCH($AC184,tblFornos[ID],0)))</f>
        <v/>
      </c>
    </row>
    <row r="185">
      <c r="AB18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5">
        <f>IFERROR(INDEX(tblFornos[ID],AGGREGATE(15,6,(ROW($AB$2:$AB$201)-1)/($AB$2:$AB$201=1),ROWS($AC$2:AC185))),"")</f>
        <v/>
      </c>
      <c r="AD185" s="41">
        <f>IF($AC185="","",INDEX(tblFornos[Data],MATCH($AC185,tblFornos[ID],0)))</f>
        <v/>
      </c>
      <c r="AE185">
        <f>IF($AC185="","",INDEX(tblFornos[Forno],MATCH($AC185,tblFornos[ID],0)))</f>
        <v/>
      </c>
      <c r="AF185">
        <f>IF($AC185="","",INDEX(tblFornos[Tipo],MATCH($AC185,tblFornos[ID],0)))</f>
        <v/>
      </c>
      <c r="AG185">
        <f>IF($AC185="","",INDEX(tblFornos[Lado],MATCH($AC185,tblFornos[ID],0)))</f>
        <v/>
      </c>
    </row>
    <row r="186">
      <c r="AB18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6">
        <f>IFERROR(INDEX(tblFornos[ID],AGGREGATE(15,6,(ROW($AB$2:$AB$201)-1)/($AB$2:$AB$201=1),ROWS($AC$2:AC186))),"")</f>
        <v/>
      </c>
      <c r="AD186" s="41">
        <f>IF($AC186="","",INDEX(tblFornos[Data],MATCH($AC186,tblFornos[ID],0)))</f>
        <v/>
      </c>
      <c r="AE186">
        <f>IF($AC186="","",INDEX(tblFornos[Forno],MATCH($AC186,tblFornos[ID],0)))</f>
        <v/>
      </c>
      <c r="AF186">
        <f>IF($AC186="","",INDEX(tblFornos[Tipo],MATCH($AC186,tblFornos[ID],0)))</f>
        <v/>
      </c>
      <c r="AG186">
        <f>IF($AC186="","",INDEX(tblFornos[Lado],MATCH($AC186,tblFornos[ID],0)))</f>
        <v/>
      </c>
    </row>
    <row r="187">
      <c r="AB18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7">
        <f>IFERROR(INDEX(tblFornos[ID],AGGREGATE(15,6,(ROW($AB$2:$AB$201)-1)/($AB$2:$AB$201=1),ROWS($AC$2:AC187))),"")</f>
        <v/>
      </c>
      <c r="AD187" s="41">
        <f>IF($AC187="","",INDEX(tblFornos[Data],MATCH($AC187,tblFornos[ID],0)))</f>
        <v/>
      </c>
      <c r="AE187">
        <f>IF($AC187="","",INDEX(tblFornos[Forno],MATCH($AC187,tblFornos[ID],0)))</f>
        <v/>
      </c>
      <c r="AF187">
        <f>IF($AC187="","",INDEX(tblFornos[Tipo],MATCH($AC187,tblFornos[ID],0)))</f>
        <v/>
      </c>
      <c r="AG187">
        <f>IF($AC187="","",INDEX(tblFornos[Lado],MATCH($AC187,tblFornos[ID],0)))</f>
        <v/>
      </c>
    </row>
    <row r="188">
      <c r="AB18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8">
        <f>IFERROR(INDEX(tblFornos[ID],AGGREGATE(15,6,(ROW($AB$2:$AB$201)-1)/($AB$2:$AB$201=1),ROWS($AC$2:AC188))),"")</f>
        <v/>
      </c>
      <c r="AD188" s="41">
        <f>IF($AC188="","",INDEX(tblFornos[Data],MATCH($AC188,tblFornos[ID],0)))</f>
        <v/>
      </c>
      <c r="AE188">
        <f>IF($AC188="","",INDEX(tblFornos[Forno],MATCH($AC188,tblFornos[ID],0)))</f>
        <v/>
      </c>
      <c r="AF188">
        <f>IF($AC188="","",INDEX(tblFornos[Tipo],MATCH($AC188,tblFornos[ID],0)))</f>
        <v/>
      </c>
      <c r="AG188">
        <f>IF($AC188="","",INDEX(tblFornos[Lado],MATCH($AC188,tblFornos[ID],0)))</f>
        <v/>
      </c>
    </row>
    <row r="189">
      <c r="AB18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89">
        <f>IFERROR(INDEX(tblFornos[ID],AGGREGATE(15,6,(ROW($AB$2:$AB$201)-1)/($AB$2:$AB$201=1),ROWS($AC$2:AC189))),"")</f>
        <v/>
      </c>
      <c r="AD189" s="41">
        <f>IF($AC189="","",INDEX(tblFornos[Data],MATCH($AC189,tblFornos[ID],0)))</f>
        <v/>
      </c>
      <c r="AE189">
        <f>IF($AC189="","",INDEX(tblFornos[Forno],MATCH($AC189,tblFornos[ID],0)))</f>
        <v/>
      </c>
      <c r="AF189">
        <f>IF($AC189="","",INDEX(tblFornos[Tipo],MATCH($AC189,tblFornos[ID],0)))</f>
        <v/>
      </c>
      <c r="AG189">
        <f>IF($AC189="","",INDEX(tblFornos[Lado],MATCH($AC189,tblFornos[ID],0)))</f>
        <v/>
      </c>
    </row>
    <row r="190">
      <c r="AB19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0">
        <f>IFERROR(INDEX(tblFornos[ID],AGGREGATE(15,6,(ROW($AB$2:$AB$201)-1)/($AB$2:$AB$201=1),ROWS($AC$2:AC190))),"")</f>
        <v/>
      </c>
      <c r="AD190" s="41">
        <f>IF($AC190="","",INDEX(tblFornos[Data],MATCH($AC190,tblFornos[ID],0)))</f>
        <v/>
      </c>
      <c r="AE190">
        <f>IF($AC190="","",INDEX(tblFornos[Forno],MATCH($AC190,tblFornos[ID],0)))</f>
        <v/>
      </c>
      <c r="AF190">
        <f>IF($AC190="","",INDEX(tblFornos[Tipo],MATCH($AC190,tblFornos[ID],0)))</f>
        <v/>
      </c>
      <c r="AG190">
        <f>IF($AC190="","",INDEX(tblFornos[Lado],MATCH($AC190,tblFornos[ID],0)))</f>
        <v/>
      </c>
    </row>
    <row r="191">
      <c r="AB19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1">
        <f>IFERROR(INDEX(tblFornos[ID],AGGREGATE(15,6,(ROW($AB$2:$AB$201)-1)/($AB$2:$AB$201=1),ROWS($AC$2:AC191))),"")</f>
        <v/>
      </c>
      <c r="AD191" s="41">
        <f>IF($AC191="","",INDEX(tblFornos[Data],MATCH($AC191,tblFornos[ID],0)))</f>
        <v/>
      </c>
      <c r="AE191">
        <f>IF($AC191="","",INDEX(tblFornos[Forno],MATCH($AC191,tblFornos[ID],0)))</f>
        <v/>
      </c>
      <c r="AF191">
        <f>IF($AC191="","",INDEX(tblFornos[Tipo],MATCH($AC191,tblFornos[ID],0)))</f>
        <v/>
      </c>
      <c r="AG191">
        <f>IF($AC191="","",INDEX(tblFornos[Lado],MATCH($AC191,tblFornos[ID],0)))</f>
        <v/>
      </c>
    </row>
    <row r="192">
      <c r="AB192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2">
        <f>IFERROR(INDEX(tblFornos[ID],AGGREGATE(15,6,(ROW($AB$2:$AB$201)-1)/($AB$2:$AB$201=1),ROWS($AC$2:AC192))),"")</f>
        <v/>
      </c>
      <c r="AD192" s="41">
        <f>IF($AC192="","",INDEX(tblFornos[Data],MATCH($AC192,tblFornos[ID],0)))</f>
        <v/>
      </c>
      <c r="AE192">
        <f>IF($AC192="","",INDEX(tblFornos[Forno],MATCH($AC192,tblFornos[ID],0)))</f>
        <v/>
      </c>
      <c r="AF192">
        <f>IF($AC192="","",INDEX(tblFornos[Tipo],MATCH($AC192,tblFornos[ID],0)))</f>
        <v/>
      </c>
      <c r="AG192">
        <f>IF($AC192="","",INDEX(tblFornos[Lado],MATCH($AC192,tblFornos[ID],0)))</f>
        <v/>
      </c>
    </row>
    <row r="193">
      <c r="AB193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3">
        <f>IFERROR(INDEX(tblFornos[ID],AGGREGATE(15,6,(ROW($AB$2:$AB$201)-1)/($AB$2:$AB$201=1),ROWS($AC$2:AC193))),"")</f>
        <v/>
      </c>
      <c r="AD193" s="41">
        <f>IF($AC193="","",INDEX(tblFornos[Data],MATCH($AC193,tblFornos[ID],0)))</f>
        <v/>
      </c>
      <c r="AE193">
        <f>IF($AC193="","",INDEX(tblFornos[Forno],MATCH($AC193,tblFornos[ID],0)))</f>
        <v/>
      </c>
      <c r="AF193">
        <f>IF($AC193="","",INDEX(tblFornos[Tipo],MATCH($AC193,tblFornos[ID],0)))</f>
        <v/>
      </c>
      <c r="AG193">
        <f>IF($AC193="","",INDEX(tblFornos[Lado],MATCH($AC193,tblFornos[ID],0)))</f>
        <v/>
      </c>
    </row>
    <row r="194">
      <c r="AB194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4">
        <f>IFERROR(INDEX(tblFornos[ID],AGGREGATE(15,6,(ROW($AB$2:$AB$201)-1)/($AB$2:$AB$201=1),ROWS($AC$2:AC194))),"")</f>
        <v/>
      </c>
      <c r="AD194" s="41">
        <f>IF($AC194="","",INDEX(tblFornos[Data],MATCH($AC194,tblFornos[ID],0)))</f>
        <v/>
      </c>
      <c r="AE194">
        <f>IF($AC194="","",INDEX(tblFornos[Forno],MATCH($AC194,tblFornos[ID],0)))</f>
        <v/>
      </c>
      <c r="AF194">
        <f>IF($AC194="","",INDEX(tblFornos[Tipo],MATCH($AC194,tblFornos[ID],0)))</f>
        <v/>
      </c>
      <c r="AG194">
        <f>IF($AC194="","",INDEX(tblFornos[Lado],MATCH($AC194,tblFornos[ID],0)))</f>
        <v/>
      </c>
    </row>
    <row r="195">
      <c r="AB195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5">
        <f>IFERROR(INDEX(tblFornos[ID],AGGREGATE(15,6,(ROW($AB$2:$AB$201)-1)/($AB$2:$AB$201=1),ROWS($AC$2:AC195))),"")</f>
        <v/>
      </c>
      <c r="AD195" s="41">
        <f>IF($AC195="","",INDEX(tblFornos[Data],MATCH($AC195,tblFornos[ID],0)))</f>
        <v/>
      </c>
      <c r="AE195">
        <f>IF($AC195="","",INDEX(tblFornos[Forno],MATCH($AC195,tblFornos[ID],0)))</f>
        <v/>
      </c>
      <c r="AF195">
        <f>IF($AC195="","",INDEX(tblFornos[Tipo],MATCH($AC195,tblFornos[ID],0)))</f>
        <v/>
      </c>
      <c r="AG195">
        <f>IF($AC195="","",INDEX(tblFornos[Lado],MATCH($AC195,tblFornos[ID],0)))</f>
        <v/>
      </c>
    </row>
    <row r="196">
      <c r="AB196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6">
        <f>IFERROR(INDEX(tblFornos[ID],AGGREGATE(15,6,(ROW($AB$2:$AB$201)-1)/($AB$2:$AB$201=1),ROWS($AC$2:AC196))),"")</f>
        <v/>
      </c>
      <c r="AD196" s="41">
        <f>IF($AC196="","",INDEX(tblFornos[Data],MATCH($AC196,tblFornos[ID],0)))</f>
        <v/>
      </c>
      <c r="AE196">
        <f>IF($AC196="","",INDEX(tblFornos[Forno],MATCH($AC196,tblFornos[ID],0)))</f>
        <v/>
      </c>
      <c r="AF196">
        <f>IF($AC196="","",INDEX(tblFornos[Tipo],MATCH($AC196,tblFornos[ID],0)))</f>
        <v/>
      </c>
      <c r="AG196">
        <f>IF($AC196="","",INDEX(tblFornos[Lado],MATCH($AC196,tblFornos[ID],0)))</f>
        <v/>
      </c>
    </row>
    <row r="197">
      <c r="AB197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7">
        <f>IFERROR(INDEX(tblFornos[ID],AGGREGATE(15,6,(ROW($AB$2:$AB$201)-1)/($AB$2:$AB$201=1),ROWS($AC$2:AC197))),"")</f>
        <v/>
      </c>
      <c r="AD197" s="41">
        <f>IF($AC197="","",INDEX(tblFornos[Data],MATCH($AC197,tblFornos[ID],0)))</f>
        <v/>
      </c>
      <c r="AE197">
        <f>IF($AC197="","",INDEX(tblFornos[Forno],MATCH($AC197,tblFornos[ID],0)))</f>
        <v/>
      </c>
      <c r="AF197">
        <f>IF($AC197="","",INDEX(tblFornos[Tipo],MATCH($AC197,tblFornos[ID],0)))</f>
        <v/>
      </c>
      <c r="AG197">
        <f>IF($AC197="","",INDEX(tblFornos[Lado],MATCH($AC197,tblFornos[ID],0)))</f>
        <v/>
      </c>
    </row>
    <row r="198">
      <c r="AB198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8">
        <f>IFERROR(INDEX(tblFornos[ID],AGGREGATE(15,6,(ROW($AB$2:$AB$201)-1)/($AB$2:$AB$201=1),ROWS($AC$2:AC198))),"")</f>
        <v/>
      </c>
      <c r="AD198" s="41">
        <f>IF($AC198="","",INDEX(tblFornos[Data],MATCH($AC198,tblFornos[ID],0)))</f>
        <v/>
      </c>
      <c r="AE198">
        <f>IF($AC198="","",INDEX(tblFornos[Forno],MATCH($AC198,tblFornos[ID],0)))</f>
        <v/>
      </c>
      <c r="AF198">
        <f>IF($AC198="","",INDEX(tblFornos[Tipo],MATCH($AC198,tblFornos[ID],0)))</f>
        <v/>
      </c>
      <c r="AG198">
        <f>IF($AC198="","",INDEX(tblFornos[Lado],MATCH($AC198,tblFornos[ID],0)))</f>
        <v/>
      </c>
    </row>
    <row r="199">
      <c r="AB199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199">
        <f>IFERROR(INDEX(tblFornos[ID],AGGREGATE(15,6,(ROW($AB$2:$AB$201)-1)/($AB$2:$AB$201=1),ROWS($AC$2:AC199))),"")</f>
        <v/>
      </c>
      <c r="AD199" s="41">
        <f>IF($AC199="","",INDEX(tblFornos[Data],MATCH($AC199,tblFornos[ID],0)))</f>
        <v/>
      </c>
      <c r="AE199">
        <f>IF($AC199="","",INDEX(tblFornos[Forno],MATCH($AC199,tblFornos[ID],0)))</f>
        <v/>
      </c>
      <c r="AF199">
        <f>IF($AC199="","",INDEX(tblFornos[Tipo],MATCH($AC199,tblFornos[ID],0)))</f>
        <v/>
      </c>
      <c r="AG199">
        <f>IF($AC199="","",INDEX(tblFornos[Lado],MATCH($AC199,tblFornos[ID],0)))</f>
        <v/>
      </c>
    </row>
    <row r="200">
      <c r="AB200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00">
        <f>IFERROR(INDEX(tblFornos[ID],AGGREGATE(15,6,(ROW($AB$2:$AB$201)-1)/($AB$2:$AB$201=1),ROWS($AC$2:AC200))),"")</f>
        <v/>
      </c>
      <c r="AD200" s="41">
        <f>IF($AC200="","",INDEX(tblFornos[Data],MATCH($AC200,tblFornos[ID],0)))</f>
        <v/>
      </c>
      <c r="AE200">
        <f>IF($AC200="","",INDEX(tblFornos[Forno],MATCH($AC200,tblFornos[ID],0)))</f>
        <v/>
      </c>
      <c r="AF200">
        <f>IF($AC200="","",INDEX(tblFornos[Tipo],MATCH($AC200,tblFornos[ID],0)))</f>
        <v/>
      </c>
      <c r="AG200">
        <f>IF($AC200="","",INDEX(tblFornos[Lado],MATCH($AC200,tblFornos[ID],0)))</f>
        <v/>
      </c>
    </row>
    <row r="201">
      <c r="AB201">
        <f>IF(ROW()-1&gt;ROWS(tblFornos[ID]),0,IF(AND(OR(Filtros!$B$5="",INDEX(tblFornos[Data],ROW()-1)&gt;=Filtros!$B$5),OR(Filtros!$C$5="",INDEX(tblFornos[Data],ROW()-1)&lt;=Filtros!$C$5),OR(Filtros!$D$5="",INDEX(tblFornos[Forno],ROW()-1)=Filtros!$D$5),OR(Filtros!$E$5="",INDEX(tblFornos[Tipo],ROW()-1)=Filtros!$E$5),OR(Filtros!$F$5="",INDEX(tblFornos[Lado],ROW()-1)=Filtros!$F$5),OR(Filtros!$G$5="",DAY(INDEX(tblFornos[Data],ROW()-1))=Filtros!$G$5),OR(Filtros!$H$5="",MONTH(INDEX(tblFornos[Data],ROW()-1))=Filtros!$H$5),OR(Filtros!$I$5="",YEAR(INDEX(tblFornos[Data],ROW()-1))=Filtros!$I$5),OR(Filtros!$C$7="",ISNUMBER(SEARCH(Filtros!$C$7,INDEX(tblFornos[Forno],ROW()-1)&amp;" "&amp;INDEX(tblFornos[Tipo],ROW()-1)&amp;" "&amp;INDEX(tblFornos[Lado],ROW()-1)&amp;" "&amp;TEXT(INDEX(tblFornos[Data],ROW()-1),"dd/mm/yyyy"))))),1,0))</f>
        <v/>
      </c>
      <c r="AC201">
        <f>IFERROR(INDEX(tblFornos[ID],AGGREGATE(15,6,(ROW($AB$2:$AB$201)-1)/($AB$2:$AB$201=1),ROWS($AC$2:AC201))),"")</f>
        <v/>
      </c>
      <c r="AD201" s="41">
        <f>IF($AC201="","",INDEX(tblFornos[Data],MATCH($AC201,tblFornos[ID],0)))</f>
        <v/>
      </c>
      <c r="AE201">
        <f>IF($AC201="","",INDEX(tblFornos[Forno],MATCH($AC201,tblFornos[ID],0)))</f>
        <v/>
      </c>
      <c r="AF201">
        <f>IF($AC201="","",INDEX(tblFornos[Tipo],MATCH($AC201,tblFornos[ID],0)))</f>
        <v/>
      </c>
      <c r="AG201">
        <f>IF($AC201="","",INDEX(tblFornos[Lado],MATCH($AC201,tblFornos[ID],0)))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2026-05-09T05:27:59Z</dcterms:created>
  <dcterms:modified xsi:type="dcterms:W3CDTF">2026-05-09T05:28:00Z</dcterms:modified>
</cp:coreProperties>
</file>